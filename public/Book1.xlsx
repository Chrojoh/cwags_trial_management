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J:\Secretary Trial Management\cwags_trial_management-master\public\"/>
    </mc:Choice>
  </mc:AlternateContent>
  <xr:revisionPtr revIDLastSave="0" documentId="13_ncr:1_{492A58DD-E872-486F-BEE1-5D28A69A040C}" xr6:coauthVersionLast="47" xr6:coauthVersionMax="47" xr10:uidLastSave="{00000000-0000-0000-0000-000000000000}"/>
  <bookViews>
    <workbookView xWindow="38290" yWindow="-110" windowWidth="38620" windowHeight="21100" xr2:uid="{A328956F-6838-49BF-876E-6FE73E16D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28" i="1" l="1" a="1"/>
  <c r="F28" i="1" a="1"/>
  <c r="E28" i="1" a="1"/>
  <c r="G2" i="1" a="1"/>
  <c r="G4" i="1" a="1"/>
  <c r="E2" i="1" a="1"/>
  <c r="G26" i="1" a="1"/>
  <c r="E29" i="1" a="1"/>
  <c r="F8" i="1" a="1"/>
  <c r="G31" i="1" a="1"/>
  <c r="E9" i="1" a="1"/>
  <c r="G10" i="1" a="1"/>
  <c r="G22" i="1" a="1"/>
  <c r="E20" i="1" a="1"/>
  <c r="F16" i="1" a="1"/>
  <c r="F26" i="1" a="1"/>
  <c r="E26" i="1" a="1"/>
  <c r="G16" i="1" a="1"/>
  <c r="F2" i="1" a="1"/>
  <c r="E4" i="1" a="1"/>
  <c r="F20" i="1" a="1"/>
  <c r="F18" i="1" a="1"/>
  <c r="E24" i="1" a="1"/>
  <c r="G14" i="1" a="1"/>
  <c r="F14" i="1" a="1"/>
  <c r="E31" i="1" a="1"/>
  <c r="F11" i="1" a="1"/>
  <c r="G24" i="1" a="1"/>
  <c r="G17" i="1" a="1"/>
  <c r="G6" i="1" a="1"/>
  <c r="G12" i="1" a="1"/>
  <c r="F12" i="1" a="1"/>
  <c r="E12" i="1" a="1"/>
  <c r="G27" i="1" a="1"/>
  <c r="F31" i="1" a="1"/>
  <c r="F3" i="1" a="1"/>
  <c r="G20" i="1" a="1"/>
  <c r="E14" i="1" a="1"/>
  <c r="F10" i="1" a="1"/>
  <c r="E10" i="1" a="1"/>
  <c r="G25" i="1" a="1"/>
  <c r="F25" i="1" a="1"/>
  <c r="F17" i="1" a="1"/>
  <c r="F29" i="1" a="1"/>
  <c r="F9" i="1" a="1"/>
  <c r="E25" i="1" a="1"/>
  <c r="E7" i="1" a="1"/>
  <c r="G7" i="1" a="1"/>
  <c r="F5" i="1" a="1"/>
  <c r="F32" i="1" a="1"/>
  <c r="E13" i="1" a="1"/>
  <c r="E18" i="1" a="1"/>
  <c r="F4" i="1" a="1"/>
  <c r="E8" i="1" a="1"/>
  <c r="E15" i="1" a="1"/>
  <c r="F23" i="1" a="1"/>
  <c r="E23" i="1" a="1"/>
  <c r="G29" i="1" a="1"/>
  <c r="E27" i="1" a="1"/>
  <c r="F21" i="1" a="1"/>
  <c r="F13" i="1" a="1"/>
  <c r="E17" i="1" a="1"/>
  <c r="F6" i="1" a="1"/>
  <c r="E3" i="1" a="1"/>
  <c r="E22" i="1" a="1"/>
  <c r="G18" i="1" a="1"/>
  <c r="F30" i="1" a="1"/>
  <c r="F15" i="1" a="1"/>
  <c r="G23" i="1" a="1"/>
  <c r="E21" i="1" a="1"/>
  <c r="G11" i="1" a="1"/>
  <c r="F27" i="1" a="1"/>
  <c r="G15" i="1" a="1"/>
  <c r="G9" i="1" a="1"/>
  <c r="G13" i="1" a="1"/>
  <c r="F22" i="1" a="1"/>
  <c r="F24" i="1" a="1"/>
  <c r="E30" i="1" a="1"/>
  <c r="G30" i="1" a="1"/>
  <c r="G21" i="1" a="1"/>
  <c r="E11" i="1" a="1"/>
  <c r="G5" i="1" a="1"/>
  <c r="E32" i="1" a="1"/>
  <c r="G19" i="1" a="1"/>
  <c r="F19" i="1" a="1"/>
  <c r="E19" i="1" a="1"/>
  <c r="F7" i="1" a="1"/>
  <c r="E5" i="1" a="1"/>
  <c r="G3" i="1" a="1"/>
  <c r="E6" i="1" a="1"/>
  <c r="G32" i="1" a="1"/>
  <c r="E16" i="1" a="1"/>
  <c r="G8" i="1" a="1"/>
  <c r="G8" i="1" l="1"/>
  <c r="E16" i="1"/>
  <c r="G32" i="1"/>
  <c r="E6" i="1"/>
  <c r="G3" i="1"/>
  <c r="E5" i="1"/>
  <c r="F7" i="1"/>
  <c r="E19" i="1"/>
  <c r="F19" i="1"/>
  <c r="G19" i="1"/>
  <c r="E32" i="1"/>
  <c r="G5" i="1"/>
  <c r="E11" i="1"/>
  <c r="H11" i="1" s="1"/>
  <c r="G21" i="1"/>
  <c r="G30" i="1"/>
  <c r="E30" i="1"/>
  <c r="F24" i="1"/>
  <c r="F22" i="1"/>
  <c r="G13" i="1"/>
  <c r="G9" i="1"/>
  <c r="G15" i="1"/>
  <c r="F27" i="1"/>
  <c r="G11" i="1"/>
  <c r="E21" i="1"/>
  <c r="G23" i="1"/>
  <c r="F15" i="1"/>
  <c r="F30" i="1"/>
  <c r="G18" i="1"/>
  <c r="E22" i="1"/>
  <c r="E3" i="1"/>
  <c r="F6" i="1"/>
  <c r="E17" i="1"/>
  <c r="F13" i="1"/>
  <c r="F21" i="1"/>
  <c r="E27" i="1"/>
  <c r="G29" i="1"/>
  <c r="E23" i="1"/>
  <c r="F23" i="1"/>
  <c r="E15" i="1"/>
  <c r="E8" i="1"/>
  <c r="F4" i="1"/>
  <c r="E18" i="1"/>
  <c r="E13" i="1"/>
  <c r="F32" i="1"/>
  <c r="F5" i="1"/>
  <c r="G7" i="1"/>
  <c r="E7" i="1"/>
  <c r="E25" i="1"/>
  <c r="H25" i="1" s="1"/>
  <c r="F9" i="1"/>
  <c r="F29" i="1"/>
  <c r="F17" i="1"/>
  <c r="F25" i="1"/>
  <c r="G25" i="1"/>
  <c r="E10" i="1"/>
  <c r="F10" i="1"/>
  <c r="E14" i="1"/>
  <c r="G20" i="1"/>
  <c r="F3" i="1"/>
  <c r="F31" i="1"/>
  <c r="G27" i="1"/>
  <c r="E12" i="1"/>
  <c r="F12" i="1"/>
  <c r="G12" i="1"/>
  <c r="G6" i="1"/>
  <c r="G17" i="1"/>
  <c r="G24" i="1"/>
  <c r="F11" i="1"/>
  <c r="E31" i="1"/>
  <c r="F14" i="1"/>
  <c r="G14" i="1"/>
  <c r="E24" i="1"/>
  <c r="F18" i="1"/>
  <c r="F20" i="1"/>
  <c r="E4" i="1"/>
  <c r="F2" i="1"/>
  <c r="G16" i="1"/>
  <c r="E26" i="1"/>
  <c r="F26" i="1"/>
  <c r="F16" i="1"/>
  <c r="E20" i="1"/>
  <c r="G22" i="1"/>
  <c r="G10" i="1"/>
  <c r="E9" i="1"/>
  <c r="G31" i="1"/>
  <c r="F8" i="1"/>
  <c r="E29" i="1"/>
  <c r="G26" i="1"/>
  <c r="E2" i="1"/>
  <c r="G4" i="1"/>
  <c r="G2" i="1"/>
  <c r="E28" i="1"/>
  <c r="F28" i="1"/>
  <c r="G28" i="1"/>
  <c r="H14" i="1" l="1"/>
  <c r="H24" i="1"/>
  <c r="H22" i="1"/>
  <c r="H13" i="1"/>
  <c r="H29" i="1"/>
  <c r="H17" i="1"/>
  <c r="H20" i="1"/>
  <c r="H3" i="1"/>
  <c r="H4" i="1"/>
  <c r="H8" i="1"/>
  <c r="H30" i="1"/>
  <c r="H7" i="1"/>
  <c r="H2" i="1"/>
  <c r="H12" i="1"/>
  <c r="H26" i="1"/>
  <c r="H32" i="1"/>
  <c r="H21" i="1"/>
  <c r="H5" i="1"/>
  <c r="H31" i="1"/>
  <c r="H16" i="1"/>
  <c r="H28" i="1"/>
  <c r="H18" i="1"/>
  <c r="H19" i="1"/>
  <c r="H15" i="1"/>
  <c r="H10" i="1"/>
  <c r="H23" i="1"/>
  <c r="H6" i="1"/>
  <c r="H9" i="1"/>
  <c r="H27" i="1"/>
  <c r="F34" i="1" l="1"/>
  <c r="F3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<sst xmlns="http://schemas.openxmlformats.org/spreadsheetml/2006/main" count="74" uniqueCount="73">
  <si>
    <t xml:space="preserve">Trial Recap </t>
  </si>
  <si>
    <t xml:space="preserve">Class </t>
  </si>
  <si>
    <t># Pass</t>
  </si>
  <si>
    <t># Fails</t>
  </si>
  <si>
    <t># abs</t>
  </si>
  <si>
    <t>Total entries</t>
  </si>
  <si>
    <t>Patrol 1</t>
  </si>
  <si>
    <t>Trial Dates:</t>
  </si>
  <si>
    <t>Detective 2</t>
  </si>
  <si>
    <t>Host:</t>
  </si>
  <si>
    <t>Investigator 3</t>
  </si>
  <si>
    <t>City:</t>
  </si>
  <si>
    <t>Super Sleuth 4</t>
  </si>
  <si>
    <t>State/Prov:</t>
  </si>
  <si>
    <t>Private Inv</t>
  </si>
  <si>
    <t>Det Diversions</t>
  </si>
  <si>
    <t>Ranger 1</t>
  </si>
  <si>
    <t>Ranger 2</t>
  </si>
  <si>
    <t>Ranger 3</t>
  </si>
  <si>
    <t>Ranger 4</t>
  </si>
  <si>
    <t>Ranger 5</t>
  </si>
  <si>
    <t>Dasher 3</t>
  </si>
  <si>
    <t>Dasher 4</t>
  </si>
  <si>
    <t>Dasher 5</t>
  </si>
  <si>
    <t>Dasher 6</t>
  </si>
  <si>
    <t>Obedience 1</t>
  </si>
  <si>
    <t>Obedience 2</t>
  </si>
  <si>
    <t>Obedience 3</t>
  </si>
  <si>
    <t>Obedience 4</t>
  </si>
  <si>
    <t>Obedience 5</t>
  </si>
  <si>
    <t>Starter</t>
  </si>
  <si>
    <t>Advanced</t>
  </si>
  <si>
    <t>Pro</t>
  </si>
  <si>
    <t>ARF</t>
  </si>
  <si>
    <t>Zoom 1</t>
  </si>
  <si>
    <t>Zoom 1.5</t>
  </si>
  <si>
    <t>Zoom 2</t>
  </si>
  <si>
    <t>Games 1</t>
  </si>
  <si>
    <t>Games 2</t>
  </si>
  <si>
    <t>Complete balance of Recap below</t>
  </si>
  <si>
    <t>Games 3</t>
  </si>
  <si>
    <t>Games 4</t>
  </si>
  <si>
    <t>Total Runs</t>
  </si>
  <si>
    <t>Per Run Fee (USD)</t>
  </si>
  <si>
    <t>Amount Due:</t>
  </si>
  <si>
    <t>Late Fee</t>
  </si>
  <si>
    <t>Any Corrections to numbers above enter them here</t>
  </si>
  <si>
    <t>Any Judge Subsititutions?</t>
  </si>
  <si>
    <t xml:space="preserve">Any dogs and / or handlers involved in any incidents?  Submit details and how they were resolved. </t>
  </si>
  <si>
    <t>Attach any  additional information if more space needed</t>
  </si>
  <si>
    <t>Any Concerns received against judge, dog, handler or host?</t>
  </si>
  <si>
    <t>If Yes, please provide details</t>
  </si>
  <si>
    <t>Any other comments</t>
  </si>
  <si>
    <t>Submitted by:</t>
  </si>
  <si>
    <t xml:space="preserve">THE NUMBERS WILL AUTO FILL </t>
  </si>
  <si>
    <t>from the class tabs.</t>
  </si>
  <si>
    <t>Complete Recap section below.</t>
  </si>
  <si>
    <t>Trial Recap, Class Results Reports, &amp; Judge</t>
  </si>
  <si>
    <t>Evalutation for each judge must be emailed</t>
  </si>
  <si>
    <t>within 14 days following the conclusion of</t>
  </si>
  <si>
    <t xml:space="preserve">the trial to </t>
  </si>
  <si>
    <t>Shirley@c-wags.org</t>
  </si>
  <si>
    <t xml:space="preserve">Payment can be made by Paypal (link on </t>
  </si>
  <si>
    <t>Trial Host - Payment web page) or a check</t>
  </si>
  <si>
    <t xml:space="preserve">Payable to   C-WAGS and mailed to </t>
  </si>
  <si>
    <t>C-WAGS %Shirley Ottmer  3693 Fairview Ave</t>
  </si>
  <si>
    <t>Jackson, MI 49203</t>
  </si>
  <si>
    <t>Mailed checks or money orders on Canadian</t>
  </si>
  <si>
    <t>banks must include an additional $6 for</t>
  </si>
  <si>
    <t>bank fee. Payments can be made through</t>
  </si>
  <si>
    <t>Paypal without the additional expense.</t>
  </si>
  <si>
    <t>Results received past 14 days must include</t>
  </si>
  <si>
    <t>$40 late results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</si>
</sst>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_);[Red]\(&quot;$&quot;#,##0.00\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rgb="FF000000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Comic Sans MS"/>
      <family val="4"/>
    </font>
    <font>
      <u/>
      <sz val="11"/>
      <color theme="10"/>
      <name val="Aptos Narrow"/>
      <family val="2"/>
      <scheme val="minor"/>
    </font>
    <font>
      <sz val="9"/>
      <color rgb="FF000000"/>
      <name val="Aptos Narrow"/>
      <family val="2"/>
      <scheme val="minor"/>
    </font>
    <font>
      <u/>
      <sz val="9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2" xfId="2" applyFont="1" applyBorder="1"/>
    <xf numFmtId="0" fontId="8" fillId="0" borderId="0" xfId="0" applyFont="1" applyProtection="1"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4" fontId="3" fillId="0" borderId="8" xfId="1" applyFont="1" applyBorder="1" applyAlignment="1" applyProtection="1">
      <alignment horizontal="center"/>
      <protection locked="0"/>
    </xf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7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6" fillId="0" borderId="2" xfId="2" applyFont="1" applyBorder="1" applyAlignment="1">
      <alignment horizontal="left" wrapText="1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0" fontId="10" fillId="0" borderId="2" xfId="0" applyFont="1" applyBorder="1" applyAlignment="1" applyProtection="1">
      <alignment horizontal="left"/>
      <protection locked="0"/>
    </xf>
    <xf numFmtId="164" fontId="3" fillId="2" borderId="1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13" xfId="0" applyBorder="1" applyAlignment="1" applyProtection="1">
      <alignment horizontal="left" wrapText="1"/>
      <protection locked="0"/>
    </xf>
    <xf numFmtId="0" fontId="0" fillId="0" borderId="14" xfId="0" applyBorder="1" applyAlignment="1" applyProtection="1">
      <alignment horizontal="left" wrapText="1"/>
      <protection locked="0"/>
    </xf>
    <xf numFmtId="0" fontId="0" fillId="0" borderId="15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16" xfId="0" applyBorder="1" applyAlignment="1" applyProtection="1">
      <alignment horizontal="left" wrapText="1"/>
      <protection locked="0"/>
    </xf>
    <xf numFmtId="0" fontId="0" fillId="0" borderId="17" xfId="0" applyBorder="1" applyAlignment="1" applyProtection="1">
      <alignment horizontal="left" wrapText="1"/>
      <protection locked="0"/>
    </xf>
    <xf numFmtId="0" fontId="0" fillId="0" borderId="18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center" wrapText="1"/>
      <protection locked="0"/>
    </xf>
    <xf numFmtId="0" fontId="0" fillId="0" borderId="13" xfId="0" applyBorder="1" applyAlignment="1" applyProtection="1">
      <alignment horizontal="center" wrapText="1"/>
      <protection locked="0"/>
    </xf>
    <xf numFmtId="0" fontId="0" fillId="0" borderId="14" xfId="0" applyBorder="1" applyAlignment="1" applyProtection="1">
      <alignment horizontal="center" wrapText="1"/>
      <protection locked="0"/>
    </xf>
    <xf numFmtId="0" fontId="0" fillId="0" borderId="15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7" xfId="0" applyBorder="1" applyAlignment="1" applyProtection="1">
      <alignment horizontal="center" wrapText="1"/>
      <protection locked="0"/>
    </xf>
    <xf numFmtId="0" fontId="0" fillId="0" borderId="18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wrapText="1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3" fillId="0" borderId="0" xfId="3" applyFont="1" applyAlignment="1" applyProtection="1">
      <alignment horizontal="left" vertical="center"/>
      <protection locked="0"/>
    </xf>
  </cellXfs>
  <cellStyles count="4">
    <cellStyle name="Currency" xfId="1" builtinId="4"/>
    <cellStyle name="Hyperlink" xfId="3" builtinId="8"/>
    <cellStyle name="Normal" xfId="0" builtinId="0"/>
    <cellStyle name="Normal 2 2" xfId="2" xr:uid="{125782B8-C3A4-4F53-A1B6-1A1AAE126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1706880</xdr:colOff>
      <xdr:row>0</xdr:row>
      <xdr:rowOff>71120</xdr:rowOff>
    </xdr:from>
    <xdr:to>
      <xdr:col>2</xdr:col>
      <xdr:colOff>889</xdr:colOff>
      <xdr:row>1</xdr:row>
      <xdr:rowOff>188674</xdr:rowOff>
    </xdr:to>
    <xdr:pic>
      <xdr:nvPicPr>
        <xdr:cNvPr id="4" name="Picture 3" descr="page1image52461568" hidden="1">
          <a:extLst>
            <a:ext uri="{FF2B5EF4-FFF2-40B4-BE49-F238E27FC236}">
              <a16:creationId xmlns:a16="http://schemas.microsoft.com/office/drawing/2014/main" id="{12A675B4-0611-4787-8204-DAD377071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6130" y="71120"/>
          <a:ext cx="2159" cy="276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397511</xdr:colOff>
      <xdr:row>26</xdr:row>
      <xdr:rowOff>114299</xdr:rowOff>
    </xdr:from>
    <xdr:to>
      <xdr:col>15</xdr:col>
      <xdr:colOff>443230</xdr:colOff>
      <xdr:row>26</xdr:row>
      <xdr:rowOff>160018</xdr:rowOff>
    </xdr:to>
    <xdr:sp macro="" textlink="">
      <xdr:nvSpPr>
        <xdr:cNvPr id="5" name="TextBox 4" hidden="1">
          <a:extLst>
            <a:ext uri="{FF2B5EF4-FFF2-40B4-BE49-F238E27FC236}">
              <a16:creationId xmlns:a16="http://schemas.microsoft.com/office/drawing/2014/main" id="{3C1BB412-B1CC-4295-B24B-8FC5C7092291}"/>
            </a:ext>
          </a:extLst>
        </xdr:cNvPr>
        <xdr:cNvSpPr txBox="1"/>
      </xdr:nvSpPr>
      <xdr:spPr>
        <a:xfrm flipH="1" flipV="1">
          <a:off x="10875011" y="5378449"/>
          <a:ext cx="45719" cy="4571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1</xdr:col>
      <xdr:colOff>1706880</xdr:colOff>
      <xdr:row>0</xdr:row>
      <xdr:rowOff>71120</xdr:rowOff>
    </xdr:from>
    <xdr:to>
      <xdr:col>2</xdr:col>
      <xdr:colOff>889</xdr:colOff>
      <xdr:row>1</xdr:row>
      <xdr:rowOff>188674</xdr:rowOff>
    </xdr:to>
    <xdr:pic>
      <xdr:nvPicPr>
        <xdr:cNvPr id="10" name="Picture 9" descr="page1image52461568" hidden="1">
          <a:extLst>
            <a:ext uri="{FF2B5EF4-FFF2-40B4-BE49-F238E27FC236}">
              <a16:creationId xmlns:a16="http://schemas.microsoft.com/office/drawing/2014/main" id="{E65B71B1-CABF-47DF-A60A-6A9931AB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830" y="71120"/>
          <a:ext cx="2159" cy="473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195580</xdr:colOff>
      <xdr:row>18</xdr:row>
      <xdr:rowOff>158750</xdr:rowOff>
    </xdr:from>
    <xdr:to>
      <xdr:col>13</xdr:col>
      <xdr:colOff>222250</xdr:colOff>
      <xdr:row>24</xdr:row>
      <xdr:rowOff>25400</xdr:rowOff>
    </xdr:to>
    <xdr:sp macro="" textlink="">
      <xdr:nvSpPr>
        <xdr:cNvPr id="13" name="TextBox 12" hidden="1">
          <a:extLst>
            <a:ext uri="{FF2B5EF4-FFF2-40B4-BE49-F238E27FC236}">
              <a16:creationId xmlns:a16="http://schemas.microsoft.com/office/drawing/2014/main" id="{7DF1A891-1A60-4925-9C8A-DF3A9915BCB2}"/>
            </a:ext>
          </a:extLst>
        </xdr:cNvPr>
        <xdr:cNvSpPr txBox="1"/>
      </xdr:nvSpPr>
      <xdr:spPr>
        <a:xfrm>
          <a:off x="8234680" y="3949700"/>
          <a:ext cx="1245870" cy="9715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20</xdr:col>
      <xdr:colOff>466256</xdr:colOff>
      <xdr:row>28</xdr:row>
      <xdr:rowOff>99371</xdr:rowOff>
    </xdr:from>
    <xdr:to>
      <xdr:col>20</xdr:col>
      <xdr:colOff>511975</xdr:colOff>
      <xdr:row>28</xdr:row>
      <xdr:rowOff>145090</xdr:rowOff>
    </xdr:to>
    <xdr:sp macro="" textlink="">
      <xdr:nvSpPr>
        <xdr:cNvPr id="11" name="TextBox 10" hidden="1">
          <a:extLst>
            <a:ext uri="{FF2B5EF4-FFF2-40B4-BE49-F238E27FC236}">
              <a16:creationId xmlns:a16="http://schemas.microsoft.com/office/drawing/2014/main" id="{2CF9FCC5-894A-45E0-8085-CFF1FBBAF0BB}"/>
            </a:ext>
          </a:extLst>
        </xdr:cNvPr>
        <xdr:cNvSpPr txBox="1"/>
      </xdr:nvSpPr>
      <xdr:spPr>
        <a:xfrm rot="220235" flipH="1" flipV="1">
          <a:off x="13991756" y="5731821"/>
          <a:ext cx="45719" cy="4571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1</xdr:col>
      <xdr:colOff>1706880</xdr:colOff>
      <xdr:row>0</xdr:row>
      <xdr:rowOff>71120</xdr:rowOff>
    </xdr:from>
    <xdr:to>
      <xdr:col>2</xdr:col>
      <xdr:colOff>889</xdr:colOff>
      <xdr:row>1</xdr:row>
      <xdr:rowOff>188674</xdr:rowOff>
    </xdr:to>
    <xdr:pic>
      <xdr:nvPicPr>
        <xdr:cNvPr id="12" name="Picture 11" descr="page1image52461568" hidden="1">
          <a:extLst>
            <a:ext uri="{FF2B5EF4-FFF2-40B4-BE49-F238E27FC236}">
              <a16:creationId xmlns:a16="http://schemas.microsoft.com/office/drawing/2014/main" id="{23984E39-3F5D-4C69-8D3F-09FE208DA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8830" y="71120"/>
          <a:ext cx="2159" cy="473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576036</xdr:colOff>
      <xdr:row>25</xdr:row>
      <xdr:rowOff>27215</xdr:rowOff>
    </xdr:from>
    <xdr:ext cx="912260" cy="718131"/>
    <xdr:sp macro="" textlink="">
      <xdr:nvSpPr>
        <xdr:cNvPr id="2" name="TextBox 1" hidden="1">
          <a:extLst>
            <a:ext uri="{FF2B5EF4-FFF2-40B4-BE49-F238E27FC236}">
              <a16:creationId xmlns:a16="http://schemas.microsoft.com/office/drawing/2014/main" id="{19AFF3A6-B2FE-5BE7-1015-79A1493CE06F}"/>
            </a:ext>
          </a:extLst>
        </xdr:cNvPr>
        <xdr:cNvSpPr txBox="1"/>
      </xdr:nvSpPr>
      <xdr:spPr>
        <a:xfrm rot="6196167">
          <a:off x="11760200" y="5010151"/>
          <a:ext cx="718131" cy="91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irley@c-wag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9BC7-FA68-41E1-95A7-C5AAE04AFC31}">
  <sheetPr codeName="Sheet1"/>
  <dimension ref="A1:H88"/>
  <sheetViews>
    <sheetView tabSelected="1" workbookViewId="0">
      <selection activeCell="A13" sqref="A13:B30"/>
    </sheetView>
  </sheetViews>
  <sheetFormatPr defaultRowHeight="14.5" x14ac:dyDescent="0.35"/>
  <cols>
    <col min="2" max="2" width="20.90625" customWidth="1"/>
    <col min="3" max="3" width="5.26953125" customWidth="1"/>
    <col min="4" max="4" width="13.81640625" customWidth="1"/>
    <col min="5" max="5" width="10.7265625" customWidth="1"/>
    <col min="6" max="6" width="10" customWidth="1"/>
    <col min="8" max="8" width="10.7265625" customWidth="1"/>
  </cols>
  <sheetData>
    <row r="1" spans="1:8" s="28" customFormat="1" ht="28" x14ac:dyDescent="0.35">
      <c r="A1" s="25" t="s">
        <v>0</v>
      </c>
      <c r="B1" s="26"/>
      <c r="C1" s="26"/>
      <c r="D1" s="2" t="s">
        <v>1</v>
      </c>
      <c r="E1" s="27" t="s">
        <v>2</v>
      </c>
      <c r="F1" s="27" t="s">
        <v>3</v>
      </c>
      <c r="G1" s="27" t="s">
        <v>4</v>
      </c>
      <c r="H1" s="27" t="s">
        <v>5</v>
      </c>
    </row>
    <row r="2" spans="1:8" ht="17.5" x14ac:dyDescent="0.35">
      <c r="A2" s="1"/>
      <c r="B2" s="1"/>
      <c r="C2" s="1"/>
      <c r="D2" s="24" t="s">
        <v>6</v>
      </c>
      <c r="E2" s="3" cm="1">
        <f t="array" aca="1" ref="E2" ca="1">IFERROR(
SUMPRODUCT(--(IFERROR(VALUE(INDIRECT("'"&amp;D2&amp;"'!D7:Z1000")),0)&gt;70))
+SUMPRODUCT(--ISNUMBER(SEARCH("P",INDIRECT("'"&amp;D2&amp;"'!D7:Z1000"))))
+SUMPRODUCT(--ISNUMBER(SEARCH("GB",INDIRECT("'"&amp;D2&amp;"'!D7:Z1000"))))
+SUMPRODUCT(--ISNUMBER(SEARCH("BJ",INDIRECT("'"&amp;D2&amp;"'!D7:Z1000"))))
+SUMPRODUCT(--ISNUMBER(SEARCH("C",INDIRECT("'"&amp;D2&amp;"'!D7:Z1000"))))
+SUMPRODUCT(--ISNUMBER(SEARCH("T",INDIRECT("'"&amp;D2&amp;"'!D7:Z1000")))),"")</f>
        <v>0</v>
      </c>
      <c r="F2" s="3" cm="1">
        <f t="array" aca="1" ref="F2" ca="1">IFERROR(
SUMPRODUCT(--ISNUMBER(SEARCH("F",INDIRECT("'"&amp;D2&amp;"'!D7:Z1000"))))
+SUMPRODUCT(--ISNUMBER(SEARCH("NQ",INDIRECT("'"&amp;D2&amp;"'!D7:Z1000")))),"")</f>
        <v>0</v>
      </c>
      <c r="G2" s="3" cm="1">
        <f t="array" aca="1" ref="G2" ca="1">IFERROR(
SUMPRODUCT(--ISNUMBER(SEARCH("ABS",INDIRECT("'"&amp;D2&amp;"'!D7:Z1000")))),"")</f>
        <v>0</v>
      </c>
      <c r="H2" s="4">
        <f ca="1">SUM(E2:G2)</f>
        <v>0</v>
      </c>
    </row>
    <row r="3" spans="1:8" ht="17.5" x14ac:dyDescent="0.35">
      <c r="A3" s="1" t="s">
        <v>7</v>
      </c>
      <c r="B3" s="1"/>
      <c r="C3" s="5"/>
      <c r="D3" s="7" t="s">
        <v>8</v>
      </c>
      <c r="E3" s="3" cm="1">
        <f t="array" aca="1" ref="E3" ca="1">IFERROR(
SUMPRODUCT(--(IFERROR(VALUE(INDIRECT("'"&amp;D3&amp;"'!D7:Z1000")),0)&gt;70))
+SUMPRODUCT(--ISNUMBER(SEARCH("P",INDIRECT("'"&amp;D3&amp;"'!D7:Z1000"))))
+SUMPRODUCT(--ISNUMBER(SEARCH("GB",INDIRECT("'"&amp;D3&amp;"'!D7:Z1000"))))
+SUMPRODUCT(--ISNUMBER(SEARCH("BJ",INDIRECT("'"&amp;D3&amp;"'!D7:Z1000"))))
+SUMPRODUCT(--ISNUMBER(SEARCH("C",INDIRECT("'"&amp;D3&amp;"'!D7:Z1000"))))
+SUMPRODUCT(--ISNUMBER(SEARCH("T",INDIRECT("'"&amp;D3&amp;"'!D7:Z1000")))),"")</f>
        <v>0</v>
      </c>
      <c r="F3" s="3" cm="1">
        <f t="array" aca="1" ref="F3" ca="1">IFERROR(
SUMPRODUCT(--ISNUMBER(SEARCH("F",INDIRECT("'"&amp;D3&amp;"'!D7:Z1000"))))
+SUMPRODUCT(--ISNUMBER(SEARCH("NQ",INDIRECT("'"&amp;D3&amp;"'!D7:Z1000")))),"")</f>
        <v>0</v>
      </c>
      <c r="G3" s="3" cm="1">
        <f t="array" aca="1" ref="G3" ca="1">IFERROR(
SUMPRODUCT(--ISNUMBER(SEARCH("ABS",INDIRECT("'"&amp;D3&amp;"'!D7:Z1000")))),"")</f>
        <v>0</v>
      </c>
      <c r="H3" s="4">
        <f t="shared" ref="H3:H32" ca="1" si="0">SUM(E3:G3)</f>
        <v>0</v>
      </c>
    </row>
    <row r="4" spans="1:8" ht="17.5" x14ac:dyDescent="0.35">
      <c r="A4" s="1" t="s">
        <v>9</v>
      </c>
      <c r="B4" s="1"/>
      <c r="C4" s="1"/>
      <c r="D4" s="7" t="s">
        <v>10</v>
      </c>
      <c r="E4" s="3" cm="1">
        <f t="array" aca="1" ref="E4" ca="1">IFERROR(
SUMPRODUCT(--(IFERROR(VALUE(INDIRECT("'"&amp;D4&amp;"'!D7:Z1000")),0)&gt;70))
+SUMPRODUCT(--ISNUMBER(SEARCH("P",INDIRECT("'"&amp;D4&amp;"'!D7:Z1000"))))
+SUMPRODUCT(--ISNUMBER(SEARCH("GB",INDIRECT("'"&amp;D4&amp;"'!D7:Z1000"))))
+SUMPRODUCT(--ISNUMBER(SEARCH("BJ",INDIRECT("'"&amp;D4&amp;"'!D7:Z1000"))))
+SUMPRODUCT(--ISNUMBER(SEARCH("C",INDIRECT("'"&amp;D4&amp;"'!D7:Z1000"))))
+SUMPRODUCT(--ISNUMBER(SEARCH("T",INDIRECT("'"&amp;D4&amp;"'!D7:Z1000")))),"")</f>
        <v>0</v>
      </c>
      <c r="F4" s="3" cm="1">
        <f t="array" aca="1" ref="F4" ca="1">IFERROR(
SUMPRODUCT(--ISNUMBER(SEARCH("F",INDIRECT("'"&amp;D4&amp;"'!D7:Z1000"))))
+SUMPRODUCT(--ISNUMBER(SEARCH("NQ",INDIRECT("'"&amp;D4&amp;"'!D7:Z1000")))),"")</f>
        <v>0</v>
      </c>
      <c r="G4" s="3" cm="1">
        <f t="array" aca="1" ref="G4" ca="1">IFERROR(
SUMPRODUCT(--ISNUMBER(SEARCH("ABS",INDIRECT("'"&amp;D4&amp;"'!D7:Z1000")))),"")</f>
        <v>0</v>
      </c>
      <c r="H4" s="4">
        <f t="shared" ca="1" si="0"/>
        <v>0</v>
      </c>
    </row>
    <row r="5" spans="1:8" ht="17.5" x14ac:dyDescent="0.35">
      <c r="A5" s="1" t="s">
        <v>11</v>
      </c>
      <c r="B5" s="1"/>
      <c r="C5" s="1"/>
      <c r="D5" s="7" t="s">
        <v>12</v>
      </c>
      <c r="E5" s="3" cm="1">
        <f t="array" aca="1" ref="E5" ca="1">IFERROR(
SUMPRODUCT(--(IFERROR(VALUE(INDIRECT("'"&amp;D5&amp;"'!D7:Z1000")),0)&gt;70))
+SUMPRODUCT(--ISNUMBER(SEARCH("P",INDIRECT("'"&amp;D5&amp;"'!D7:Z1000"))))
+SUMPRODUCT(--ISNUMBER(SEARCH("GB",INDIRECT("'"&amp;D5&amp;"'!D7:Z1000"))))
+SUMPRODUCT(--ISNUMBER(SEARCH("BJ",INDIRECT("'"&amp;D5&amp;"'!D7:Z1000"))))
+SUMPRODUCT(--ISNUMBER(SEARCH("C",INDIRECT("'"&amp;D5&amp;"'!D7:Z1000"))))
+SUMPRODUCT(--ISNUMBER(SEARCH("T",INDIRECT("'"&amp;D5&amp;"'!D7:Z1000")))),"")</f>
        <v>0</v>
      </c>
      <c r="F5" s="3" cm="1">
        <f t="array" aca="1" ref="F5" ca="1">IFERROR(
SUMPRODUCT(--ISNUMBER(SEARCH("F",INDIRECT("'"&amp;D5&amp;"'!D7:Z1000"))))
+SUMPRODUCT(--ISNUMBER(SEARCH("NQ",INDIRECT("'"&amp;D5&amp;"'!D7:Z1000")))),"")</f>
        <v>0</v>
      </c>
      <c r="G5" s="3" cm="1">
        <f t="array" aca="1" ref="G5" ca="1">IFERROR(
SUMPRODUCT(--ISNUMBER(SEARCH("ABS",INDIRECT("'"&amp;D5&amp;"'!D7:Z1000")))),"")</f>
        <v>0</v>
      </c>
      <c r="H5" s="4">
        <f t="shared" ca="1" si="0"/>
        <v>0</v>
      </c>
    </row>
    <row r="6" spans="1:8" ht="17.5" x14ac:dyDescent="0.35">
      <c r="A6" s="1" t="s">
        <v>13</v>
      </c>
      <c r="B6" s="1"/>
      <c r="C6" s="1"/>
      <c r="D6" s="7" t="s">
        <v>14</v>
      </c>
      <c r="E6" s="3" cm="1">
        <f t="array" aca="1" ref="E6" ca="1">IFERROR(
SUMPRODUCT(--(IFERROR(VALUE(INDIRECT("'"&amp;D6&amp;"'!D7:Z1000")),0)&gt;70))
+SUMPRODUCT(--ISNUMBER(SEARCH("P",INDIRECT("'"&amp;D6&amp;"'!D7:Z1000"))))
+SUMPRODUCT(--ISNUMBER(SEARCH("GB",INDIRECT("'"&amp;D6&amp;"'!D7:Z1000"))))
+SUMPRODUCT(--ISNUMBER(SEARCH("BJ",INDIRECT("'"&amp;D6&amp;"'!D7:Z1000"))))
+SUMPRODUCT(--ISNUMBER(SEARCH("C",INDIRECT("'"&amp;D6&amp;"'!D7:Z1000"))))
+SUMPRODUCT(--ISNUMBER(SEARCH("T",INDIRECT("'"&amp;D6&amp;"'!D7:Z1000")))),"")</f>
        <v>0</v>
      </c>
      <c r="F6" s="3" cm="1">
        <f t="array" aca="1" ref="F6" ca="1">IFERROR(
SUMPRODUCT(--ISNUMBER(SEARCH("F",INDIRECT("'"&amp;D6&amp;"'!D7:Z1000"))))
+SUMPRODUCT(--ISNUMBER(SEARCH("NQ",INDIRECT("'"&amp;D6&amp;"'!D7:Z1000")))),"")</f>
        <v>0</v>
      </c>
      <c r="G6" s="3" cm="1">
        <f t="array" aca="1" ref="G6" ca="1">IFERROR(
SUMPRODUCT(--ISNUMBER(SEARCH("ABS",INDIRECT("'"&amp;D6&amp;"'!D7:Z1000")))),"")</f>
        <v>0</v>
      </c>
      <c r="H6" s="4">
        <f t="shared" ca="1" si="0"/>
        <v>0</v>
      </c>
    </row>
    <row r="7" spans="1:8" ht="17.5" x14ac:dyDescent="0.35">
      <c r="A7" s="1"/>
      <c r="B7" s="1"/>
      <c r="C7" s="1"/>
      <c r="D7" s="7" t="s">
        <v>15</v>
      </c>
      <c r="E7" s="3" cm="1">
        <f t="array" aca="1" ref="E7" ca="1">IFERROR(
SUMPRODUCT(--(IFERROR(VALUE(INDIRECT("'"&amp;D7&amp;"'!D7:Z1000")),0)&gt;70))
+SUMPRODUCT(--ISNUMBER(SEARCH("P",INDIRECT("'"&amp;D7&amp;"'!D7:Z1000"))))
+SUMPRODUCT(--ISNUMBER(SEARCH("GB",INDIRECT("'"&amp;D7&amp;"'!D7:Z1000"))))
+SUMPRODUCT(--ISNUMBER(SEARCH("BJ",INDIRECT("'"&amp;D7&amp;"'!D7:Z1000"))))
+SUMPRODUCT(--ISNUMBER(SEARCH("C",INDIRECT("'"&amp;D7&amp;"'!D7:Z1000"))))
+SUMPRODUCT(--ISNUMBER(SEARCH("T",INDIRECT("'"&amp;D7&amp;"'!D7:Z1000")))),"")</f>
        <v>0</v>
      </c>
      <c r="F7" s="3" cm="1">
        <f t="array" aca="1" ref="F7" ca="1">IFERROR(
SUMPRODUCT(--ISNUMBER(SEARCH("F",INDIRECT("'"&amp;D7&amp;"'!D7:Z1000"))))
+SUMPRODUCT(--ISNUMBER(SEARCH("NQ",INDIRECT("'"&amp;D7&amp;"'!D7:Z1000")))),"")</f>
        <v>0</v>
      </c>
      <c r="G7" s="3" cm="1">
        <f t="array" aca="1" ref="G7" ca="1">IFERROR(
SUMPRODUCT(--ISNUMBER(SEARCH("ABS",INDIRECT("'"&amp;D7&amp;"'!D7:Z1000")))),"")</f>
        <v>0</v>
      </c>
      <c r="H7" s="4">
        <f t="shared" ca="1" si="0"/>
        <v>0</v>
      </c>
    </row>
    <row r="8" spans="1:8" ht="17.5" x14ac:dyDescent="0.35">
      <c r="A8" s="1"/>
      <c r="B8" s="1"/>
      <c r="C8" s="1"/>
      <c r="D8" s="7" t="s">
        <v>16</v>
      </c>
      <c r="E8" s="3" cm="1">
        <f t="array" aca="1" ref="E8" ca="1">IFERROR(
SUMPRODUCT(--(IFERROR(VALUE(INDIRECT("'"&amp;D8&amp;"'!D7:Z1000")),0)&gt;70))
+SUMPRODUCT(--ISNUMBER(SEARCH("P",INDIRECT("'"&amp;D8&amp;"'!D7:Z1000"))))
+SUMPRODUCT(--ISNUMBER(SEARCH("GB",INDIRECT("'"&amp;D8&amp;"'!D7:Z1000"))))
+SUMPRODUCT(--ISNUMBER(SEARCH("BJ",INDIRECT("'"&amp;D8&amp;"'!D7:Z1000"))))
+SUMPRODUCT(--ISNUMBER(SEARCH("C",INDIRECT("'"&amp;D8&amp;"'!D7:Z1000"))))
+SUMPRODUCT(--ISNUMBER(SEARCH("T",INDIRECT("'"&amp;D8&amp;"'!D7:Z1000")))),"")</f>
        <v>0</v>
      </c>
      <c r="F8" s="3" cm="1">
        <f t="array" aca="1" ref="F8" ca="1">IFERROR(
SUMPRODUCT(--ISNUMBER(SEARCH("F",INDIRECT("'"&amp;D8&amp;"'!D7:Z1000"))))
+SUMPRODUCT(--ISNUMBER(SEARCH("NQ",INDIRECT("'"&amp;D8&amp;"'!D7:Z1000")))),"")</f>
        <v>0</v>
      </c>
      <c r="G8" s="3" cm="1">
        <f t="array" aca="1" ref="G8" ca="1">IFERROR(
SUMPRODUCT(--ISNUMBER(SEARCH("ABS",INDIRECT("'"&amp;D8&amp;"'!D7:Z1000")))),"")</f>
        <v>0</v>
      </c>
      <c r="H8" s="4">
        <f t="shared" ca="1" si="0"/>
        <v>0</v>
      </c>
    </row>
    <row r="9" spans="1:8" ht="17.5" x14ac:dyDescent="0.35">
      <c r="A9" s="50" t="s">
        <v>54</v>
      </c>
      <c r="B9" s="50"/>
      <c r="C9" s="1"/>
      <c r="D9" s="7" t="s">
        <v>17</v>
      </c>
      <c r="E9" s="3" cm="1">
        <f t="array" aca="1" ref="E9" ca="1">IFERROR(
SUMPRODUCT(--(IFERROR(VALUE(INDIRECT("'"&amp;D9&amp;"'!D7:Z1000")),0)&gt;70))
+SUMPRODUCT(--ISNUMBER(SEARCH("P",INDIRECT("'"&amp;D9&amp;"'!D7:Z1000"))))
+SUMPRODUCT(--ISNUMBER(SEARCH("GB",INDIRECT("'"&amp;D9&amp;"'!D7:Z1000"))))
+SUMPRODUCT(--ISNUMBER(SEARCH("BJ",INDIRECT("'"&amp;D9&amp;"'!D7:Z1000"))))
+SUMPRODUCT(--ISNUMBER(SEARCH("C",INDIRECT("'"&amp;D9&amp;"'!D7:Z1000"))))
+SUMPRODUCT(--ISNUMBER(SEARCH("T",INDIRECT("'"&amp;D9&amp;"'!D7:Z1000")))),"")</f>
        <v>0</v>
      </c>
      <c r="F9" s="3" cm="1">
        <f t="array" aca="1" ref="F9" ca="1">IFERROR(
SUMPRODUCT(--ISNUMBER(SEARCH("F",INDIRECT("'"&amp;D9&amp;"'!D7:Z1000"))))
+SUMPRODUCT(--ISNUMBER(SEARCH("NQ",INDIRECT("'"&amp;D9&amp;"'!D7:Z1000")))),"")</f>
        <v>0</v>
      </c>
      <c r="G9" s="3" cm="1">
        <f t="array" aca="1" ref="G9" ca="1">IFERROR(
SUMPRODUCT(--ISNUMBER(SEARCH("ABS",INDIRECT("'"&amp;D9&amp;"'!D7:Z1000")))),"")</f>
        <v>0</v>
      </c>
      <c r="H9" s="4">
        <f t="shared" ca="1" si="0"/>
        <v>0</v>
      </c>
    </row>
    <row r="10" spans="1:8" x14ac:dyDescent="0.35">
      <c r="A10" s="50" t="s">
        <v>55</v>
      </c>
      <c r="B10" s="50"/>
      <c r="C10" s="6"/>
      <c r="D10" s="7" t="s">
        <v>18</v>
      </c>
      <c r="E10" s="3" cm="1">
        <f t="array" aca="1" ref="E10" ca="1">IFERROR(
SUMPRODUCT(--(IFERROR(VALUE(INDIRECT("'"&amp;D10&amp;"'!D7:Z1000")),0)&gt;70))
+SUMPRODUCT(--ISNUMBER(SEARCH("P",INDIRECT("'"&amp;D10&amp;"'!D7:Z1000"))))
+SUMPRODUCT(--ISNUMBER(SEARCH("GB",INDIRECT("'"&amp;D10&amp;"'!D7:Z1000"))))
+SUMPRODUCT(--ISNUMBER(SEARCH("BJ",INDIRECT("'"&amp;D10&amp;"'!D7:Z1000"))))
+SUMPRODUCT(--ISNUMBER(SEARCH("C",INDIRECT("'"&amp;D10&amp;"'!D7:Z1000"))))
+SUMPRODUCT(--ISNUMBER(SEARCH("T",INDIRECT("'"&amp;D10&amp;"'!D7:Z1000")))),"")</f>
        <v>0</v>
      </c>
      <c r="F10" s="3" cm="1">
        <f t="array" aca="1" ref="F10" ca="1">IFERROR(
SUMPRODUCT(--ISNUMBER(SEARCH("F",INDIRECT("'"&amp;D10&amp;"'!D7:Z1000"))))
+SUMPRODUCT(--ISNUMBER(SEARCH("NQ",INDIRECT("'"&amp;D10&amp;"'!D7:Z1000")))),"")</f>
        <v>0</v>
      </c>
      <c r="G10" s="3" cm="1">
        <f t="array" aca="1" ref="G10" ca="1">IFERROR(
SUMPRODUCT(--ISNUMBER(SEARCH("ABS",INDIRECT("'"&amp;D10&amp;"'!D7:Z1000")))),"")</f>
        <v>0</v>
      </c>
      <c r="H10" s="4">
        <f t="shared" ca="1" si="0"/>
        <v>0</v>
      </c>
    </row>
    <row r="11" spans="1:8" x14ac:dyDescent="0.35">
      <c r="A11" s="50" t="s">
        <v>56</v>
      </c>
      <c r="B11" s="50"/>
      <c r="C11" s="6"/>
      <c r="D11" s="7" t="s">
        <v>19</v>
      </c>
      <c r="E11" s="3" cm="1">
        <f t="array" aca="1" ref="E11" ca="1">IFERROR(
SUMPRODUCT(--(IFERROR(VALUE(INDIRECT("'"&amp;D11&amp;"'!D7:Z1000")),0)&gt;70))
+SUMPRODUCT(--ISNUMBER(SEARCH("P",INDIRECT("'"&amp;D11&amp;"'!D7:Z1000"))))
+SUMPRODUCT(--ISNUMBER(SEARCH("GB",INDIRECT("'"&amp;D11&amp;"'!D7:Z1000"))))
+SUMPRODUCT(--ISNUMBER(SEARCH("BJ",INDIRECT("'"&amp;D11&amp;"'!D7:Z1000"))))
+SUMPRODUCT(--ISNUMBER(SEARCH("C",INDIRECT("'"&amp;D11&amp;"'!D7:Z1000"))))
+SUMPRODUCT(--ISNUMBER(SEARCH("T",INDIRECT("'"&amp;D11&amp;"'!D7:Z1000")))),"")</f>
        <v>0</v>
      </c>
      <c r="F11" s="3" cm="1">
        <f t="array" aca="1" ref="F11" ca="1">IFERROR(
SUMPRODUCT(--ISNUMBER(SEARCH("F",INDIRECT("'"&amp;D11&amp;"'!D7:Z1000"))))
+SUMPRODUCT(--ISNUMBER(SEARCH("NQ",INDIRECT("'"&amp;D11&amp;"'!D7:Z1000")))),"")</f>
        <v>0</v>
      </c>
      <c r="G11" s="3" cm="1">
        <f t="array" aca="1" ref="G11" ca="1">IFERROR(
SUMPRODUCT(--ISNUMBER(SEARCH("ABS",INDIRECT("'"&amp;D11&amp;"'!D7:Z1000")))),"")</f>
        <v>0</v>
      </c>
      <c r="H11" s="4">
        <f t="shared" ca="1" si="0"/>
        <v>0</v>
      </c>
    </row>
    <row r="12" spans="1:8" x14ac:dyDescent="0.35">
      <c r="A12" s="50"/>
      <c r="B12" s="50"/>
      <c r="C12" s="6"/>
      <c r="D12" s="7" t="s">
        <v>20</v>
      </c>
      <c r="E12" s="3" cm="1">
        <f t="array" aca="1" ref="E12" ca="1">IFERROR(
SUMPRODUCT(--(IFERROR(VALUE(INDIRECT("'"&amp;D12&amp;"'!D7:Z1000")),0)&gt;70))
+SUMPRODUCT(--ISNUMBER(SEARCH("P",INDIRECT("'"&amp;D12&amp;"'!D7:Z1000"))))
+SUMPRODUCT(--ISNUMBER(SEARCH("GB",INDIRECT("'"&amp;D12&amp;"'!D7:Z1000"))))
+SUMPRODUCT(--ISNUMBER(SEARCH("BJ",INDIRECT("'"&amp;D12&amp;"'!D7:Z1000"))))
+SUMPRODUCT(--ISNUMBER(SEARCH("C",INDIRECT("'"&amp;D12&amp;"'!D7:Z1000"))))
+SUMPRODUCT(--ISNUMBER(SEARCH("T",INDIRECT("'"&amp;D12&amp;"'!D7:Z1000")))),"")</f>
        <v>0</v>
      </c>
      <c r="F12" s="3" cm="1">
        <f t="array" aca="1" ref="F12" ca="1">IFERROR(
SUMPRODUCT(--ISNUMBER(SEARCH("F",INDIRECT("'"&amp;D12&amp;"'!D7:Z1000"))))
+SUMPRODUCT(--ISNUMBER(SEARCH("NQ",INDIRECT("'"&amp;D12&amp;"'!D7:Z1000")))),"")</f>
        <v>0</v>
      </c>
      <c r="G12" s="3" cm="1">
        <f t="array" aca="1" ref="G12" ca="1">IFERROR(
SUMPRODUCT(--ISNUMBER(SEARCH("ABS",INDIRECT("'"&amp;D12&amp;"'!D7:Z1000")))),"")</f>
        <v>0</v>
      </c>
      <c r="H12" s="4">
        <f t="shared" ca="1" si="0"/>
        <v>0</v>
      </c>
    </row>
    <row r="13" spans="1:8" x14ac:dyDescent="0.35">
      <c r="A13" s="52" t="s">
        <v>57</v>
      </c>
      <c r="B13" s="52"/>
      <c r="C13" s="6"/>
      <c r="D13" s="7" t="s">
        <v>21</v>
      </c>
      <c r="E13" s="3" cm="1">
        <f t="array" aca="1" ref="E13" ca="1">IFERROR(
SUMPRODUCT(--(IFERROR(VALUE(INDIRECT("'"&amp;D13&amp;"'!D7:Z1000")),0)&gt;70))
+SUMPRODUCT(--ISNUMBER(SEARCH("P",INDIRECT("'"&amp;D13&amp;"'!D7:Z1000"))))
+SUMPRODUCT(--ISNUMBER(SEARCH("GB",INDIRECT("'"&amp;D13&amp;"'!D7:Z1000"))))
+SUMPRODUCT(--ISNUMBER(SEARCH("BJ",INDIRECT("'"&amp;D13&amp;"'!D7:Z1000"))))
+SUMPRODUCT(--ISNUMBER(SEARCH("C",INDIRECT("'"&amp;D13&amp;"'!D7:Z1000"))))
+SUMPRODUCT(--ISNUMBER(SEARCH("T",INDIRECT("'"&amp;D13&amp;"'!D7:Z1000")))),"")</f>
        <v>0</v>
      </c>
      <c r="F13" s="3" cm="1">
        <f t="array" aca="1" ref="F13" ca="1">IFERROR(
SUMPRODUCT(--ISNUMBER(SEARCH("F",INDIRECT("'"&amp;D13&amp;"'!D7:Z1000"))))
+SUMPRODUCT(--ISNUMBER(SEARCH("NQ",INDIRECT("'"&amp;D13&amp;"'!D7:Z1000")))),"")</f>
        <v>0</v>
      </c>
      <c r="G13" s="3" cm="1">
        <f t="array" aca="1" ref="G13" ca="1">IFERROR(
SUMPRODUCT(--ISNUMBER(SEARCH("ABS",INDIRECT("'"&amp;D13&amp;"'!D7:Z1000")))),"")</f>
        <v>0</v>
      </c>
      <c r="H13" s="4">
        <f t="shared" ca="1" si="0"/>
        <v>0</v>
      </c>
    </row>
    <row r="14" spans="1:8" x14ac:dyDescent="0.35">
      <c r="A14" s="52" t="s">
        <v>58</v>
      </c>
      <c r="B14" s="52"/>
      <c r="C14" s="6"/>
      <c r="D14" s="7" t="s">
        <v>22</v>
      </c>
      <c r="E14" s="3" cm="1">
        <f t="array" aca="1" ref="E14" ca="1">IFERROR(
SUMPRODUCT(--(IFERROR(VALUE(INDIRECT("'"&amp;D14&amp;"'!D7:Z1000")),0)&gt;70))
+SUMPRODUCT(--ISNUMBER(SEARCH("P",INDIRECT("'"&amp;D14&amp;"'!D7:Z1000"))))
+SUMPRODUCT(--ISNUMBER(SEARCH("GB",INDIRECT("'"&amp;D14&amp;"'!D7:Z1000"))))
+SUMPRODUCT(--ISNUMBER(SEARCH("BJ",INDIRECT("'"&amp;D14&amp;"'!D7:Z1000"))))
+SUMPRODUCT(--ISNUMBER(SEARCH("C",INDIRECT("'"&amp;D14&amp;"'!D7:Z1000"))))
+SUMPRODUCT(--ISNUMBER(SEARCH("T",INDIRECT("'"&amp;D14&amp;"'!D7:Z1000")))),"")</f>
        <v>0</v>
      </c>
      <c r="F14" s="3" cm="1">
        <f t="array" aca="1" ref="F14" ca="1">IFERROR(
SUMPRODUCT(--ISNUMBER(SEARCH("F",INDIRECT("'"&amp;D14&amp;"'!D7:Z1000"))))
+SUMPRODUCT(--ISNUMBER(SEARCH("NQ",INDIRECT("'"&amp;D14&amp;"'!D7:Z1000")))),"")</f>
        <v>0</v>
      </c>
      <c r="G14" s="3" cm="1">
        <f t="array" aca="1" ref="G14" ca="1">IFERROR(
SUMPRODUCT(--ISNUMBER(SEARCH("ABS",INDIRECT("'"&amp;D14&amp;"'!D7:Z1000")))),"")</f>
        <v>0</v>
      </c>
      <c r="H14" s="4">
        <f t="shared" ca="1" si="0"/>
        <v>0</v>
      </c>
    </row>
    <row r="15" spans="1:8" x14ac:dyDescent="0.35">
      <c r="A15" s="52" t="s">
        <v>59</v>
      </c>
      <c r="B15" s="52"/>
      <c r="C15" s="6"/>
      <c r="D15" s="7" t="s">
        <v>23</v>
      </c>
      <c r="E15" s="3" cm="1">
        <f t="array" aca="1" ref="E15" ca="1">IFERROR(
SUMPRODUCT(--(IFERROR(VALUE(INDIRECT("'"&amp;D15&amp;"'!D7:Z1000")),0)&gt;70))
+SUMPRODUCT(--ISNUMBER(SEARCH("P",INDIRECT("'"&amp;D15&amp;"'!D7:Z1000"))))
+SUMPRODUCT(--ISNUMBER(SEARCH("GB",INDIRECT("'"&amp;D15&amp;"'!D7:Z1000"))))
+SUMPRODUCT(--ISNUMBER(SEARCH("BJ",INDIRECT("'"&amp;D15&amp;"'!D7:Z1000"))))
+SUMPRODUCT(--ISNUMBER(SEARCH("C",INDIRECT("'"&amp;D15&amp;"'!D7:Z1000"))))
+SUMPRODUCT(--ISNUMBER(SEARCH("T",INDIRECT("'"&amp;D15&amp;"'!D7:Z1000")))),"")</f>
        <v>0</v>
      </c>
      <c r="F15" s="3" cm="1">
        <f t="array" aca="1" ref="F15" ca="1">IFERROR(
SUMPRODUCT(--ISNUMBER(SEARCH("F",INDIRECT("'"&amp;D15&amp;"'!D7:Z1000"))))
+SUMPRODUCT(--ISNUMBER(SEARCH("NQ",INDIRECT("'"&amp;D15&amp;"'!D7:Z1000")))),"")</f>
        <v>0</v>
      </c>
      <c r="G15" s="3" cm="1">
        <f t="array" aca="1" ref="G15" ca="1">IFERROR(
SUMPRODUCT(--ISNUMBER(SEARCH("ABS",INDIRECT("'"&amp;D15&amp;"'!D7:Z1000")))),"")</f>
        <v>0</v>
      </c>
      <c r="H15" s="4">
        <f t="shared" ca="1" si="0"/>
        <v>0</v>
      </c>
    </row>
    <row r="16" spans="1:8" x14ac:dyDescent="0.35">
      <c r="A16" s="52" t="s">
        <v>60</v>
      </c>
      <c r="B16" s="52"/>
      <c r="C16" s="6"/>
      <c r="D16" s="7" t="s">
        <v>24</v>
      </c>
      <c r="E16" s="3" cm="1">
        <f t="array" aca="1" ref="E16" ca="1">IFERROR(
SUMPRODUCT(--(IFERROR(VALUE(INDIRECT("'"&amp;D16&amp;"'!D7:Z1000")),0)&gt;70))
+SUMPRODUCT(--ISNUMBER(SEARCH("P",INDIRECT("'"&amp;D16&amp;"'!D7:Z1000"))))
+SUMPRODUCT(--ISNUMBER(SEARCH("GB",INDIRECT("'"&amp;D16&amp;"'!D7:Z1000"))))
+SUMPRODUCT(--ISNUMBER(SEARCH("BJ",INDIRECT("'"&amp;D16&amp;"'!D7:Z1000"))))
+SUMPRODUCT(--ISNUMBER(SEARCH("C",INDIRECT("'"&amp;D16&amp;"'!D7:Z1000"))))
+SUMPRODUCT(--ISNUMBER(SEARCH("T",INDIRECT("'"&amp;D16&amp;"'!D7:Z1000")))),"")</f>
        <v>0</v>
      </c>
      <c r="F16" s="3" cm="1">
        <f t="array" aca="1" ref="F16" ca="1">IFERROR(
SUMPRODUCT(--ISNUMBER(SEARCH("F",INDIRECT("'"&amp;D16&amp;"'!D7:Z1000"))))
+SUMPRODUCT(--ISNUMBER(SEARCH("NQ",INDIRECT("'"&amp;D16&amp;"'!D7:Z1000")))),"")</f>
        <v>0</v>
      </c>
      <c r="G16" s="3" cm="1">
        <f t="array" aca="1" ref="G16" ca="1">IFERROR(
SUMPRODUCT(--ISNUMBER(SEARCH("ABS",INDIRECT("'"&amp;D16&amp;"'!D7:Z1000")))),"")</f>
        <v>0</v>
      </c>
      <c r="H16" s="4">
        <f t="shared" ca="1" si="0"/>
        <v>0</v>
      </c>
    </row>
    <row r="17" spans="1:8" x14ac:dyDescent="0.35">
      <c r="A17" s="53" t="s">
        <v>61</v>
      </c>
      <c r="B17" s="52"/>
      <c r="C17" s="6"/>
      <c r="D17" s="7" t="s">
        <v>25</v>
      </c>
      <c r="E17" s="3" cm="1">
        <f t="array" aca="1" ref="E17" ca="1">IFERROR(
SUMPRODUCT(--(IFERROR(VALUE(INDIRECT("'"&amp;D17&amp;"'!D7:Z1000")),0)&gt;70))
+SUMPRODUCT(--ISNUMBER(SEARCH("P",INDIRECT("'"&amp;D17&amp;"'!D7:Z1000"))))
+SUMPRODUCT(--ISNUMBER(SEARCH("GB",INDIRECT("'"&amp;D17&amp;"'!D7:Z1000"))))
+SUMPRODUCT(--ISNUMBER(SEARCH("BJ",INDIRECT("'"&amp;D17&amp;"'!D7:Z1000"))))
+SUMPRODUCT(--ISNUMBER(SEARCH("C",INDIRECT("'"&amp;D17&amp;"'!D7:Z1000"))))
+SUMPRODUCT(--ISNUMBER(SEARCH("T",INDIRECT("'"&amp;D17&amp;"'!D7:Z1000")))),"")</f>
        <v>0</v>
      </c>
      <c r="F17" s="3" cm="1">
        <f t="array" aca="1" ref="F17" ca="1">IFERROR(
SUMPRODUCT(--ISNUMBER(SEARCH("F",INDIRECT("'"&amp;D17&amp;"'!D7:Z1000"))))
+SUMPRODUCT(--ISNUMBER(SEARCH("NQ",INDIRECT("'"&amp;D17&amp;"'!D7:Z1000")))),"")</f>
        <v>0</v>
      </c>
      <c r="G17" s="3" cm="1">
        <f t="array" aca="1" ref="G17" ca="1">IFERROR(
SUMPRODUCT(--ISNUMBER(SEARCH("ABS",INDIRECT("'"&amp;D17&amp;"'!D7:Z1000")))),"")</f>
        <v>0</v>
      </c>
      <c r="H17" s="4">
        <f t="shared" ca="1" si="0"/>
        <v>0</v>
      </c>
    </row>
    <row r="18" spans="1:8" x14ac:dyDescent="0.35">
      <c r="A18" s="52" t="s">
        <v>62</v>
      </c>
      <c r="B18" s="52"/>
      <c r="C18" s="6"/>
      <c r="D18" s="7" t="s">
        <v>26</v>
      </c>
      <c r="E18" s="3" cm="1">
        <f t="array" aca="1" ref="E18" ca="1">IFERROR(
SUMPRODUCT(--(IFERROR(VALUE(INDIRECT("'"&amp;D18&amp;"'!D7:Z1000")),0)&gt;70))
+SUMPRODUCT(--ISNUMBER(SEARCH("P",INDIRECT("'"&amp;D18&amp;"'!D7:Z1000"))))
+SUMPRODUCT(--ISNUMBER(SEARCH("GB",INDIRECT("'"&amp;D18&amp;"'!D7:Z1000"))))
+SUMPRODUCT(--ISNUMBER(SEARCH("BJ",INDIRECT("'"&amp;D18&amp;"'!D7:Z1000"))))
+SUMPRODUCT(--ISNUMBER(SEARCH("C",INDIRECT("'"&amp;D18&amp;"'!D7:Z1000"))))
+SUMPRODUCT(--ISNUMBER(SEARCH("T",INDIRECT("'"&amp;D18&amp;"'!D7:Z1000")))),"")</f>
        <v>0</v>
      </c>
      <c r="F18" s="3" cm="1">
        <f t="array" aca="1" ref="F18" ca="1">IFERROR(
SUMPRODUCT(--ISNUMBER(SEARCH("F",INDIRECT("'"&amp;D18&amp;"'!D7:Z1000"))))
+SUMPRODUCT(--ISNUMBER(SEARCH("NQ",INDIRECT("'"&amp;D18&amp;"'!D7:Z1000")))),"")</f>
        <v>0</v>
      </c>
      <c r="G18" s="3" cm="1">
        <f t="array" aca="1" ref="G18" ca="1">IFERROR(
SUMPRODUCT(--ISNUMBER(SEARCH("ABS",INDIRECT("'"&amp;D18&amp;"'!D7:Z1000")))),"")</f>
        <v>0</v>
      </c>
      <c r="H18" s="4">
        <f t="shared" ca="1" si="0"/>
        <v>0</v>
      </c>
    </row>
    <row r="19" spans="1:8" x14ac:dyDescent="0.35">
      <c r="A19" s="52" t="s">
        <v>63</v>
      </c>
      <c r="B19" s="52"/>
      <c r="C19" s="6"/>
      <c r="D19" s="7" t="s">
        <v>27</v>
      </c>
      <c r="E19" s="3" cm="1">
        <f t="array" aca="1" ref="E19" ca="1">IFERROR(
SUMPRODUCT(--(IFERROR(VALUE(INDIRECT("'"&amp;D19&amp;"'!D7:Z1000")),0)&gt;70))
+SUMPRODUCT(--ISNUMBER(SEARCH("P",INDIRECT("'"&amp;D19&amp;"'!D7:Z1000"))))
+SUMPRODUCT(--ISNUMBER(SEARCH("GB",INDIRECT("'"&amp;D19&amp;"'!D7:Z1000"))))
+SUMPRODUCT(--ISNUMBER(SEARCH("BJ",INDIRECT("'"&amp;D19&amp;"'!D7:Z1000"))))
+SUMPRODUCT(--ISNUMBER(SEARCH("C",INDIRECT("'"&amp;D19&amp;"'!D7:Z1000"))))
+SUMPRODUCT(--ISNUMBER(SEARCH("T",INDIRECT("'"&amp;D19&amp;"'!D7:Z1000")))),"")</f>
        <v>0</v>
      </c>
      <c r="F19" s="3" cm="1">
        <f t="array" aca="1" ref="F19" ca="1">IFERROR(
SUMPRODUCT(--ISNUMBER(SEARCH("F",INDIRECT("'"&amp;D19&amp;"'!D7:Z1000"))))
+SUMPRODUCT(--ISNUMBER(SEARCH("NQ",INDIRECT("'"&amp;D19&amp;"'!D7:Z1000")))),"")</f>
        <v>0</v>
      </c>
      <c r="G19" s="3" cm="1">
        <f t="array" aca="1" ref="G19" ca="1">IFERROR(
SUMPRODUCT(--ISNUMBER(SEARCH("ABS",INDIRECT("'"&amp;D19&amp;"'!D7:Z1000")))),"")</f>
        <v>0</v>
      </c>
      <c r="H19" s="4">
        <f t="shared" ca="1" si="0"/>
        <v>0</v>
      </c>
    </row>
    <row r="20" spans="1:8" x14ac:dyDescent="0.35">
      <c r="A20" s="52" t="s">
        <v>64</v>
      </c>
      <c r="B20" s="52"/>
      <c r="C20" s="6"/>
      <c r="D20" s="7" t="s">
        <v>28</v>
      </c>
      <c r="E20" s="3" cm="1">
        <f t="array" aca="1" ref="E20" ca="1">IFERROR(
SUMPRODUCT(--(IFERROR(VALUE(INDIRECT("'"&amp;D20&amp;"'!D7:Z1000")),0)&gt;70))
+SUMPRODUCT(--ISNUMBER(SEARCH("P",INDIRECT("'"&amp;D20&amp;"'!D7:Z1000"))))
+SUMPRODUCT(--ISNUMBER(SEARCH("GB",INDIRECT("'"&amp;D20&amp;"'!D7:Z1000"))))
+SUMPRODUCT(--ISNUMBER(SEARCH("BJ",INDIRECT("'"&amp;D20&amp;"'!D7:Z1000"))))
+SUMPRODUCT(--ISNUMBER(SEARCH("C",INDIRECT("'"&amp;D20&amp;"'!D7:Z1000"))))
+SUMPRODUCT(--ISNUMBER(SEARCH("T",INDIRECT("'"&amp;D20&amp;"'!D7:Z1000")))),"")</f>
        <v>0</v>
      </c>
      <c r="F20" s="3" cm="1">
        <f t="array" aca="1" ref="F20" ca="1">IFERROR(
SUMPRODUCT(--ISNUMBER(SEARCH("F",INDIRECT("'"&amp;D20&amp;"'!D7:Z1000"))))
+SUMPRODUCT(--ISNUMBER(SEARCH("NQ",INDIRECT("'"&amp;D20&amp;"'!D7:Z1000")))),"")</f>
        <v>0</v>
      </c>
      <c r="G20" s="3" cm="1">
        <f t="array" aca="1" ref="G20" ca="1">IFERROR(
SUMPRODUCT(--ISNUMBER(SEARCH("ABS",INDIRECT("'"&amp;D20&amp;"'!D7:Z1000")))),"")</f>
        <v>0</v>
      </c>
      <c r="H20" s="4">
        <f t="shared" ca="1" si="0"/>
        <v>0</v>
      </c>
    </row>
    <row r="21" spans="1:8" x14ac:dyDescent="0.35">
      <c r="A21" s="52" t="s">
        <v>65</v>
      </c>
      <c r="B21" s="52"/>
      <c r="C21" s="6"/>
      <c r="D21" s="7" t="s">
        <v>29</v>
      </c>
      <c r="E21" s="3" cm="1">
        <f t="array" aca="1" ref="E21" ca="1">IFERROR(
SUMPRODUCT(--(IFERROR(VALUE(INDIRECT("'"&amp;D21&amp;"'!D7:Z1000")),0)&gt;70))
+SUMPRODUCT(--ISNUMBER(SEARCH("P",INDIRECT("'"&amp;D21&amp;"'!D7:Z1000"))))
+SUMPRODUCT(--ISNUMBER(SEARCH("GB",INDIRECT("'"&amp;D21&amp;"'!D7:Z1000"))))
+SUMPRODUCT(--ISNUMBER(SEARCH("BJ",INDIRECT("'"&amp;D21&amp;"'!D7:Z1000"))))
+SUMPRODUCT(--ISNUMBER(SEARCH("C",INDIRECT("'"&amp;D21&amp;"'!D7:Z1000"))))
+SUMPRODUCT(--ISNUMBER(SEARCH("T",INDIRECT("'"&amp;D21&amp;"'!D7:Z1000")))),"")</f>
        <v>0</v>
      </c>
      <c r="F21" s="3" cm="1">
        <f t="array" aca="1" ref="F21" ca="1">IFERROR(
SUMPRODUCT(--ISNUMBER(SEARCH("F",INDIRECT("'"&amp;D21&amp;"'!D7:Z1000"))))
+SUMPRODUCT(--ISNUMBER(SEARCH("NQ",INDIRECT("'"&amp;D21&amp;"'!D7:Z1000")))),"")</f>
        <v>0</v>
      </c>
      <c r="G21" s="3" cm="1">
        <f t="array" aca="1" ref="G21" ca="1">IFERROR(
SUMPRODUCT(--ISNUMBER(SEARCH("ABS",INDIRECT("'"&amp;D21&amp;"'!D7:Z1000")))),"")</f>
        <v>0</v>
      </c>
      <c r="H21" s="4">
        <f t="shared" ca="1" si="0"/>
        <v>0</v>
      </c>
    </row>
    <row r="22" spans="1:8" x14ac:dyDescent="0.35">
      <c r="A22" s="52" t="s">
        <v>66</v>
      </c>
      <c r="B22" s="52"/>
      <c r="C22" s="6"/>
      <c r="D22" s="7" t="s">
        <v>30</v>
      </c>
      <c r="E22" s="3" cm="1">
        <f t="array" aca="1" ref="E22" ca="1">IFERROR(
SUMPRODUCT(--(IFERROR(VALUE(INDIRECT("'"&amp;D22&amp;"'!D7:Z1000")),0)&gt;70))
+SUMPRODUCT(--ISNUMBER(SEARCH("P",INDIRECT("'"&amp;D22&amp;"'!D7:Z1000"))))
+SUMPRODUCT(--ISNUMBER(SEARCH("GB",INDIRECT("'"&amp;D22&amp;"'!D7:Z1000"))))
+SUMPRODUCT(--ISNUMBER(SEARCH("BJ",INDIRECT("'"&amp;D22&amp;"'!D7:Z1000"))))
+SUMPRODUCT(--ISNUMBER(SEARCH("C",INDIRECT("'"&amp;D22&amp;"'!D7:Z1000"))))
+SUMPRODUCT(--ISNUMBER(SEARCH("T",INDIRECT("'"&amp;D22&amp;"'!D7:Z1000")))),"")</f>
        <v>0</v>
      </c>
      <c r="F22" s="3" cm="1">
        <f t="array" aca="1" ref="F22" ca="1">IFERROR(
SUMPRODUCT(--ISNUMBER(SEARCH("F",INDIRECT("'"&amp;D22&amp;"'!D7:Z1000"))))
+SUMPRODUCT(--ISNUMBER(SEARCH("NQ",INDIRECT("'"&amp;D22&amp;"'!D7:Z1000")))),"")</f>
        <v>0</v>
      </c>
      <c r="G22" s="3" cm="1">
        <f t="array" aca="1" ref="G22" ca="1">IFERROR(
SUMPRODUCT(--ISNUMBER(SEARCH("ABS",INDIRECT("'"&amp;D22&amp;"'!D7:Z1000")))),"")</f>
        <v>0</v>
      </c>
      <c r="H22" s="4">
        <f t="shared" ca="1" si="0"/>
        <v>0</v>
      </c>
    </row>
    <row r="23" spans="1:8" x14ac:dyDescent="0.35">
      <c r="A23" s="52"/>
      <c r="B23" s="52"/>
      <c r="C23" s="6"/>
      <c r="D23" s="7" t="s">
        <v>31</v>
      </c>
      <c r="E23" s="3" cm="1">
        <f t="array" aca="1" ref="E23" ca="1">IFERROR(
SUMPRODUCT(--(IFERROR(VALUE(INDIRECT("'"&amp;D23&amp;"'!D7:Z1000")),0)&gt;70))
+SUMPRODUCT(--ISNUMBER(SEARCH("P",INDIRECT("'"&amp;D23&amp;"'!D7:Z1000"))))
+SUMPRODUCT(--ISNUMBER(SEARCH("GB",INDIRECT("'"&amp;D23&amp;"'!D7:Z1000"))))
+SUMPRODUCT(--ISNUMBER(SEARCH("BJ",INDIRECT("'"&amp;D23&amp;"'!D7:Z1000"))))
+SUMPRODUCT(--ISNUMBER(SEARCH("C",INDIRECT("'"&amp;D23&amp;"'!D7:Z1000"))))
+SUMPRODUCT(--ISNUMBER(SEARCH("T",INDIRECT("'"&amp;D23&amp;"'!D7:Z1000")))),"")</f>
        <v>0</v>
      </c>
      <c r="F23" s="3" cm="1">
        <f t="array" aca="1" ref="F23" ca="1">IFERROR(
SUMPRODUCT(--ISNUMBER(SEARCH("F",INDIRECT("'"&amp;D23&amp;"'!D7:Z1000"))))
+SUMPRODUCT(--ISNUMBER(SEARCH("NQ",INDIRECT("'"&amp;D23&amp;"'!D7:Z1000")))),"")</f>
        <v>0</v>
      </c>
      <c r="G23" s="3" cm="1">
        <f t="array" aca="1" ref="G23" ca="1">IFERROR(
SUMPRODUCT(--ISNUMBER(SEARCH("ABS",INDIRECT("'"&amp;D23&amp;"'!D7:Z1000")))),"")</f>
        <v>0</v>
      </c>
      <c r="H23" s="4">
        <f t="shared" ca="1" si="0"/>
        <v>0</v>
      </c>
    </row>
    <row r="24" spans="1:8" x14ac:dyDescent="0.35">
      <c r="A24" s="52" t="s">
        <v>67</v>
      </c>
      <c r="B24" s="52"/>
      <c r="C24" s="6"/>
      <c r="D24" s="7" t="s">
        <v>32</v>
      </c>
      <c r="E24" s="3" cm="1">
        <f t="array" aca="1" ref="E24" ca="1">IFERROR(
SUMPRODUCT(--(IFERROR(VALUE(INDIRECT("'"&amp;D24&amp;"'!D7:Z1000")),0)&gt;70))
+SUMPRODUCT(--ISNUMBER(SEARCH("P",INDIRECT("'"&amp;D24&amp;"'!D7:Z1000"))))
+SUMPRODUCT(--ISNUMBER(SEARCH("GB",INDIRECT("'"&amp;D24&amp;"'!D7:Z1000"))))
+SUMPRODUCT(--ISNUMBER(SEARCH("BJ",INDIRECT("'"&amp;D24&amp;"'!D7:Z1000"))))
+SUMPRODUCT(--ISNUMBER(SEARCH("C",INDIRECT("'"&amp;D24&amp;"'!D7:Z1000"))))
+SUMPRODUCT(--ISNUMBER(SEARCH("T",INDIRECT("'"&amp;D24&amp;"'!D7:Z1000")))),"")</f>
        <v>0</v>
      </c>
      <c r="F24" s="3" cm="1">
        <f t="array" aca="1" ref="F24" ca="1">IFERROR(
SUMPRODUCT(--ISNUMBER(SEARCH("F",INDIRECT("'"&amp;D24&amp;"'!D7:Z1000"))))
+SUMPRODUCT(--ISNUMBER(SEARCH("NQ",INDIRECT("'"&amp;D24&amp;"'!D7:Z1000")))),"")</f>
        <v>0</v>
      </c>
      <c r="G24" s="3" cm="1">
        <f t="array" aca="1" ref="G24" ca="1">IFERROR(
SUMPRODUCT(--ISNUMBER(SEARCH("ABS",INDIRECT("'"&amp;D24&amp;"'!D7:Z1000")))),"")</f>
        <v>0</v>
      </c>
      <c r="H24" s="4">
        <f t="shared" ca="1" si="0"/>
        <v>0</v>
      </c>
    </row>
    <row r="25" spans="1:8" x14ac:dyDescent="0.35">
      <c r="A25" s="52" t="s">
        <v>68</v>
      </c>
      <c r="B25" s="52"/>
      <c r="C25" s="6"/>
      <c r="D25" s="7" t="s">
        <v>33</v>
      </c>
      <c r="E25" s="3" cm="1">
        <f t="array" aca="1" ref="E25" ca="1">IFERROR(
SUMPRODUCT(--(IFERROR(VALUE(INDIRECT("'"&amp;D25&amp;"'!D7:Z1000")),0)&gt;70))
+SUMPRODUCT(--ISNUMBER(SEARCH("P",INDIRECT("'"&amp;D25&amp;"'!D7:Z1000"))))
+SUMPRODUCT(--ISNUMBER(SEARCH("GB",INDIRECT("'"&amp;D25&amp;"'!D7:Z1000"))))
+SUMPRODUCT(--ISNUMBER(SEARCH("BJ",INDIRECT("'"&amp;D25&amp;"'!D7:Z1000"))))
+SUMPRODUCT(--ISNUMBER(SEARCH("C",INDIRECT("'"&amp;D25&amp;"'!D7:Z1000"))))
+SUMPRODUCT(--ISNUMBER(SEARCH("T",INDIRECT("'"&amp;D25&amp;"'!D7:Z1000")))),"")</f>
        <v>0</v>
      </c>
      <c r="F25" s="3" cm="1">
        <f t="array" aca="1" ref="F25" ca="1">IFERROR(
SUMPRODUCT(--ISNUMBER(SEARCH("F",INDIRECT("'"&amp;D25&amp;"'!D7:Z1000"))))
+SUMPRODUCT(--ISNUMBER(SEARCH("NQ",INDIRECT("'"&amp;D25&amp;"'!D7:Z1000")))),"")</f>
        <v>0</v>
      </c>
      <c r="G25" s="3" cm="1">
        <f t="array" aca="1" ref="G25" ca="1">IFERROR(
SUMPRODUCT(--ISNUMBER(SEARCH("ABS",INDIRECT("'"&amp;D25&amp;"'!D7:Z1000")))),"")</f>
        <v>0</v>
      </c>
      <c r="H25" s="4">
        <f t="shared" ca="1" si="0"/>
        <v>0</v>
      </c>
    </row>
    <row r="26" spans="1:8" x14ac:dyDescent="0.35">
      <c r="A26" s="52" t="s">
        <v>69</v>
      </c>
      <c r="B26" s="52"/>
      <c r="C26" s="6"/>
      <c r="D26" s="7" t="s">
        <v>34</v>
      </c>
      <c r="E26" s="3" cm="1">
        <f t="array" aca="1" ref="E26" ca="1">IFERROR(
SUMPRODUCT(--(IFERROR(VALUE(INDIRECT("'"&amp;D26&amp;"'!D7:Z1000")),0)&gt;70))
+SUMPRODUCT(--ISNUMBER(SEARCH("P",INDIRECT("'"&amp;D26&amp;"'!D7:Z1000"))))
+SUMPRODUCT(--ISNUMBER(SEARCH("GB",INDIRECT("'"&amp;D26&amp;"'!D7:Z1000"))))
+SUMPRODUCT(--ISNUMBER(SEARCH("BJ",INDIRECT("'"&amp;D26&amp;"'!D7:Z1000"))))
+SUMPRODUCT(--ISNUMBER(SEARCH("C",INDIRECT("'"&amp;D26&amp;"'!D7:Z1000"))))
+SUMPRODUCT(--ISNUMBER(SEARCH("T",INDIRECT("'"&amp;D26&amp;"'!D7:Z1000")))),"")</f>
        <v>0</v>
      </c>
      <c r="F26" s="3" cm="1">
        <f t="array" aca="1" ref="F26" ca="1">IFERROR(
SUMPRODUCT(--ISNUMBER(SEARCH("F",INDIRECT("'"&amp;D26&amp;"'!D7:Z1000"))))
+SUMPRODUCT(--ISNUMBER(SEARCH("NQ",INDIRECT("'"&amp;D26&amp;"'!D7:Z1000")))),"")</f>
        <v>0</v>
      </c>
      <c r="G26" s="3" cm="1">
        <f t="array" aca="1" ref="G26" ca="1">IFERROR(
SUMPRODUCT(--ISNUMBER(SEARCH("ABS",INDIRECT("'"&amp;D26&amp;"'!D7:Z1000")))),"")</f>
        <v>0</v>
      </c>
      <c r="H26" s="4">
        <f t="shared" ca="1" si="0"/>
        <v>0</v>
      </c>
    </row>
    <row r="27" spans="1:8" x14ac:dyDescent="0.35">
      <c r="A27" s="52" t="s">
        <v>70</v>
      </c>
      <c r="B27" s="52"/>
      <c r="C27" s="6"/>
      <c r="D27" s="7" t="s">
        <v>35</v>
      </c>
      <c r="E27" s="3" cm="1">
        <f t="array" aca="1" ref="E27" ca="1">IFERROR(
SUMPRODUCT(--(IFERROR(VALUE(INDIRECT("'"&amp;D27&amp;"'!D7:Z1000")),0)&gt;70))
+SUMPRODUCT(--ISNUMBER(SEARCH("P",INDIRECT("'"&amp;D27&amp;"'!D7:Z1000"))))
+SUMPRODUCT(--ISNUMBER(SEARCH("GB",INDIRECT("'"&amp;D27&amp;"'!D7:Z1000"))))
+SUMPRODUCT(--ISNUMBER(SEARCH("BJ",INDIRECT("'"&amp;D27&amp;"'!D7:Z1000"))))
+SUMPRODUCT(--ISNUMBER(SEARCH("C",INDIRECT("'"&amp;D27&amp;"'!D7:Z1000"))))
+SUMPRODUCT(--ISNUMBER(SEARCH("T",INDIRECT("'"&amp;D27&amp;"'!D7:Z1000")))),"")</f>
        <v>0</v>
      </c>
      <c r="F27" s="3" cm="1">
        <f t="array" aca="1" ref="F27" ca="1">IFERROR(
SUMPRODUCT(--ISNUMBER(SEARCH("F",INDIRECT("'"&amp;D27&amp;"'!D7:Z1000"))))
+SUMPRODUCT(--ISNUMBER(SEARCH("NQ",INDIRECT("'"&amp;D27&amp;"'!D7:Z1000")))),"")</f>
        <v>0</v>
      </c>
      <c r="G27" s="3" cm="1">
        <f t="array" aca="1" ref="G27" ca="1">IFERROR(
SUMPRODUCT(--ISNUMBER(SEARCH("ABS",INDIRECT("'"&amp;D27&amp;"'!D7:Z1000")))),"")</f>
        <v>0</v>
      </c>
      <c r="H27" s="4">
        <f t="shared" ca="1" si="0"/>
        <v>0</v>
      </c>
    </row>
    <row r="28" spans="1:8" x14ac:dyDescent="0.35">
      <c r="A28" s="52"/>
      <c r="B28" s="52"/>
      <c r="C28" s="6"/>
      <c r="D28" s="7" t="s">
        <v>36</v>
      </c>
      <c r="E28" s="3" cm="1">
        <f t="array" aca="1" ref="E28" ca="1">IFERROR(
SUMPRODUCT(--(IFERROR(VALUE(INDIRECT("'"&amp;D28&amp;"'!D7:Z1000")),0)&gt;70))
+SUMPRODUCT(--ISNUMBER(SEARCH("P",INDIRECT("'"&amp;D28&amp;"'!D7:Z1000"))))
+SUMPRODUCT(--ISNUMBER(SEARCH("GB",INDIRECT("'"&amp;D28&amp;"'!D7:Z1000"))))
+SUMPRODUCT(--ISNUMBER(SEARCH("BJ",INDIRECT("'"&amp;D28&amp;"'!D7:Z1000"))))
+SUMPRODUCT(--ISNUMBER(SEARCH("C",INDIRECT("'"&amp;D28&amp;"'!D7:Z1000"))))
+SUMPRODUCT(--ISNUMBER(SEARCH("T",INDIRECT("'"&amp;D28&amp;"'!D7:Z1000")))),"")</f>
        <v>0</v>
      </c>
      <c r="F28" s="3" cm="1">
        <f t="array" aca="1" ref="F28" ca="1">IFERROR(
SUMPRODUCT(--ISNUMBER(SEARCH("F",INDIRECT("'"&amp;D28&amp;"'!D7:Z1000"))))
+SUMPRODUCT(--ISNUMBER(SEARCH("NQ",INDIRECT("'"&amp;D28&amp;"'!D7:Z1000")))),"")</f>
        <v>0</v>
      </c>
      <c r="G28" s="3" cm="1">
        <f t="array" aca="1" ref="G28" ca="1">IFERROR(
SUMPRODUCT(--ISNUMBER(SEARCH("ABS",INDIRECT("'"&amp;D28&amp;"'!D7:Z1000")))),"")</f>
        <v>0</v>
      </c>
      <c r="H28" s="4">
        <f t="shared" ca="1" si="0"/>
        <v>0</v>
      </c>
    </row>
    <row r="29" spans="1:8" x14ac:dyDescent="0.35">
      <c r="A29" s="52" t="s">
        <v>71</v>
      </c>
      <c r="B29" s="52"/>
      <c r="C29" s="6"/>
      <c r="D29" s="7" t="s">
        <v>37</v>
      </c>
      <c r="E29" s="3" cm="1">
        <f t="array" aca="1" ref="E29" ca="1">IFERROR(
SUMPRODUCT(--(IFERROR(VALUE(INDIRECT("'"&amp;D29&amp;"'!D7:Z1000")),0)&gt;70))
+SUMPRODUCT(--ISNUMBER(SEARCH("P",INDIRECT("'"&amp;D29&amp;"'!D7:Z1000"))))
+SUMPRODUCT(--ISNUMBER(SEARCH("GB",INDIRECT("'"&amp;D29&amp;"'!D7:Z1000"))))
+SUMPRODUCT(--ISNUMBER(SEARCH("BJ",INDIRECT("'"&amp;D29&amp;"'!D7:Z1000"))))
+SUMPRODUCT(--ISNUMBER(SEARCH("C",INDIRECT("'"&amp;D29&amp;"'!D7:Z1000"))))
+SUMPRODUCT(--ISNUMBER(SEARCH("T",INDIRECT("'"&amp;D29&amp;"'!D7:Z1000")))),"")</f>
        <v>0</v>
      </c>
      <c r="F29" s="3" cm="1">
        <f t="array" aca="1" ref="F29" ca="1">IFERROR(
SUMPRODUCT(--ISNUMBER(SEARCH("F",INDIRECT("'"&amp;D29&amp;"'!D7:Z1000"))))
+SUMPRODUCT(--ISNUMBER(SEARCH("NQ",INDIRECT("'"&amp;D29&amp;"'!D7:Z1000")))),"")</f>
        <v>0</v>
      </c>
      <c r="G29" s="3" cm="1">
        <f t="array" aca="1" ref="G29" ca="1">IFERROR(
SUMPRODUCT(--ISNUMBER(SEARCH("ABS",INDIRECT("'"&amp;D29&amp;"'!D7:Z1000")))),"")</f>
        <v>0</v>
      </c>
      <c r="H29" s="4">
        <f t="shared" ca="1" si="0"/>
        <v>0</v>
      </c>
    </row>
    <row r="30" spans="1:8" x14ac:dyDescent="0.35">
      <c r="A30" s="52" t="s">
        <v>72</v>
      </c>
      <c r="B30" s="52"/>
      <c r="C30" s="6"/>
      <c r="D30" s="7" t="s">
        <v>38</v>
      </c>
      <c r="E30" s="3" cm="1">
        <f t="array" aca="1" ref="E30" ca="1">IFERROR(
SUMPRODUCT(--(IFERROR(VALUE(INDIRECT("'"&amp;D30&amp;"'!D7:Z1000")),0)&gt;70))
+SUMPRODUCT(--ISNUMBER(SEARCH("P",INDIRECT("'"&amp;D30&amp;"'!D7:Z1000"))))
+SUMPRODUCT(--ISNUMBER(SEARCH("GB",INDIRECT("'"&amp;D30&amp;"'!D7:Z1000"))))
+SUMPRODUCT(--ISNUMBER(SEARCH("BJ",INDIRECT("'"&amp;D30&amp;"'!D7:Z1000"))))
+SUMPRODUCT(--ISNUMBER(SEARCH("C",INDIRECT("'"&amp;D30&amp;"'!D7:Z1000"))))
+SUMPRODUCT(--ISNUMBER(SEARCH("T",INDIRECT("'"&amp;D30&amp;"'!D7:Z1000")))),"")</f>
        <v>0</v>
      </c>
      <c r="F30" s="3" cm="1">
        <f t="array" aca="1" ref="F30" ca="1">IFERROR(
SUMPRODUCT(--ISNUMBER(SEARCH("F",INDIRECT("'"&amp;D30&amp;"'!D7:Z1000"))))
+SUMPRODUCT(--ISNUMBER(SEARCH("NQ",INDIRECT("'"&amp;D30&amp;"'!D7:Z1000")))),"")</f>
        <v>0</v>
      </c>
      <c r="G30" s="3" cm="1">
        <f t="array" aca="1" ref="G30" ca="1">IFERROR(
SUMPRODUCT(--ISNUMBER(SEARCH("ABS",INDIRECT("'"&amp;D30&amp;"'!D7:Z1000")))),"")</f>
        <v>0</v>
      </c>
      <c r="H30" s="4">
        <f t="shared" ca="1" si="0"/>
        <v>0</v>
      </c>
    </row>
    <row r="31" spans="1:8" x14ac:dyDescent="0.35">
      <c r="A31" s="50"/>
      <c r="B31" s="50"/>
      <c r="C31" s="6"/>
      <c r="D31" s="7" t="s">
        <v>40</v>
      </c>
      <c r="E31" s="3" cm="1">
        <f t="array" aca="1" ref="E31" ca="1">IFERROR(
SUMPRODUCT(--(IFERROR(VALUE(INDIRECT("'"&amp;D31&amp;"'!D7:Z1000")),0)&gt;70))
+SUMPRODUCT(--ISNUMBER(SEARCH("P",INDIRECT("'"&amp;D31&amp;"'!D7:Z1000"))))
+SUMPRODUCT(--ISNUMBER(SEARCH("GB",INDIRECT("'"&amp;D31&amp;"'!D7:Z1000"))))
+SUMPRODUCT(--ISNUMBER(SEARCH("BJ",INDIRECT("'"&amp;D31&amp;"'!D7:Z1000"))))
+SUMPRODUCT(--ISNUMBER(SEARCH("C",INDIRECT("'"&amp;D31&amp;"'!D7:Z1000"))))
+SUMPRODUCT(--ISNUMBER(SEARCH("T",INDIRECT("'"&amp;D31&amp;"'!D7:Z1000")))),"")</f>
        <v>0</v>
      </c>
      <c r="F31" s="3" cm="1">
        <f t="array" aca="1" ref="F31" ca="1">IFERROR(
SUMPRODUCT(--ISNUMBER(SEARCH("F",INDIRECT("'"&amp;D31&amp;"'!D7:Z1000"))))
+SUMPRODUCT(--ISNUMBER(SEARCH("NQ",INDIRECT("'"&amp;D31&amp;"'!D7:Z1000")))),"")</f>
        <v>0</v>
      </c>
      <c r="G31" s="3" cm="1">
        <f t="array" aca="1" ref="G31" ca="1">IFERROR(
SUMPRODUCT(--ISNUMBER(SEARCH("ABS",INDIRECT("'"&amp;D31&amp;"'!D7:Z1000")))),"")</f>
        <v>0</v>
      </c>
      <c r="H31" s="4">
        <f t="shared" ca="1" si="0"/>
        <v>0</v>
      </c>
    </row>
    <row r="32" spans="1:8" x14ac:dyDescent="0.35">
      <c r="A32" s="51"/>
      <c r="B32" s="51"/>
      <c r="C32" s="6"/>
      <c r="D32" s="7" t="s">
        <v>41</v>
      </c>
      <c r="E32" s="3" cm="1">
        <f t="array" aca="1" ref="E32" ca="1">IFERROR(
SUMPRODUCT(--(IFERROR(VALUE(INDIRECT("'"&amp;D32&amp;"'!D7:Z1000")),0)&gt;70))
+SUMPRODUCT(--ISNUMBER(SEARCH("P",INDIRECT("'"&amp;D32&amp;"'!D7:Z1000"))))
+SUMPRODUCT(--ISNUMBER(SEARCH("GB",INDIRECT("'"&amp;D32&amp;"'!D7:Z1000"))))
+SUMPRODUCT(--ISNUMBER(SEARCH("BJ",INDIRECT("'"&amp;D32&amp;"'!D7:Z1000"))))
+SUMPRODUCT(--ISNUMBER(SEARCH("C",INDIRECT("'"&amp;D32&amp;"'!D7:Z1000"))))
+SUMPRODUCT(--ISNUMBER(SEARCH("T",INDIRECT("'"&amp;D32&amp;"'!D7:Z1000")))),"")</f>
        <v>0</v>
      </c>
      <c r="F32" s="3" cm="1">
        <f t="array" aca="1" ref="F32" ca="1">IFERROR(
SUMPRODUCT(--ISNUMBER(SEARCH("F",INDIRECT("'"&amp;D32&amp;"'!D7:Z1000"))))
+SUMPRODUCT(--ISNUMBER(SEARCH("NQ",INDIRECT("'"&amp;D32&amp;"'!D7:Z1000")))),"")</f>
        <v>0</v>
      </c>
      <c r="G32" s="3" cm="1">
        <f t="array" aca="1" ref="G32" ca="1">IFERROR(
SUMPRODUCT(--ISNUMBER(SEARCH("ABS",INDIRECT("'"&amp;D32&amp;"'!D7:Z1000")))),"")</f>
        <v>0</v>
      </c>
      <c r="H32" s="4">
        <f t="shared" ca="1" si="0"/>
        <v>0</v>
      </c>
    </row>
    <row r="33" spans="1:8" ht="15" thickBot="1" x14ac:dyDescent="0.4">
      <c r="A33" s="6"/>
      <c r="B33" s="6"/>
      <c r="C33" s="6"/>
      <c r="D33" s="9"/>
      <c r="E33" s="10"/>
      <c r="F33" s="10"/>
      <c r="G33" s="10"/>
      <c r="H33" s="10"/>
    </row>
    <row r="34" spans="1:8" ht="17.5" x14ac:dyDescent="0.35">
      <c r="A34" s="6"/>
      <c r="B34" s="6"/>
      <c r="C34" s="6"/>
      <c r="D34" s="11" t="s">
        <v>42</v>
      </c>
      <c r="E34" s="12"/>
      <c r="F34" s="13">
        <f ca="1">SUM(H2:H32)</f>
        <v>0</v>
      </c>
      <c r="G34" s="10"/>
      <c r="H34" s="10"/>
    </row>
    <row r="35" spans="1:8" ht="17.5" x14ac:dyDescent="0.35">
      <c r="A35" s="6"/>
      <c r="B35" s="6"/>
      <c r="C35" s="6"/>
      <c r="D35" s="14"/>
      <c r="E35" s="15"/>
      <c r="F35" s="16"/>
      <c r="G35" s="10"/>
      <c r="H35" s="10"/>
    </row>
    <row r="36" spans="1:8" ht="17.5" x14ac:dyDescent="0.35">
      <c r="A36" s="6"/>
      <c r="B36" s="6"/>
      <c r="C36" s="6"/>
      <c r="D36" s="14" t="s">
        <v>43</v>
      </c>
      <c r="E36" s="15"/>
      <c r="F36" s="17">
        <v>1.75</v>
      </c>
      <c r="G36" s="10"/>
      <c r="H36" s="10"/>
    </row>
    <row r="37" spans="1:8" ht="18" thickBot="1" x14ac:dyDescent="0.4">
      <c r="A37" s="6"/>
      <c r="B37" s="6"/>
      <c r="C37" s="6"/>
      <c r="D37" s="18" t="s">
        <v>44</v>
      </c>
      <c r="E37" s="19"/>
      <c r="F37" s="30">
        <f ca="1">F36*F34</f>
        <v>0</v>
      </c>
      <c r="G37" s="31"/>
      <c r="H37" s="10"/>
    </row>
    <row r="38" spans="1:8" x14ac:dyDescent="0.35">
      <c r="A38" s="6"/>
      <c r="B38" s="6"/>
      <c r="C38" s="6"/>
      <c r="D38" s="9"/>
      <c r="E38" s="10"/>
      <c r="F38" s="10"/>
      <c r="G38" s="10"/>
      <c r="H38" s="10"/>
    </row>
    <row r="39" spans="1:8" x14ac:dyDescent="0.35">
      <c r="A39" s="6"/>
      <c r="B39" s="6"/>
      <c r="C39" s="6"/>
      <c r="D39" s="20" t="s">
        <v>45</v>
      </c>
      <c r="E39" s="21"/>
      <c r="F39" s="22">
        <v>40</v>
      </c>
      <c r="G39" s="21"/>
      <c r="H39" s="21"/>
    </row>
    <row r="40" spans="1:8" x14ac:dyDescent="0.35">
      <c r="A40" s="6"/>
      <c r="B40" s="6"/>
      <c r="C40" s="6"/>
      <c r="D40" s="20"/>
      <c r="E40" s="21"/>
      <c r="F40" s="21"/>
      <c r="G40" s="21"/>
      <c r="H40" s="21"/>
    </row>
    <row r="41" spans="1:8" x14ac:dyDescent="0.35">
      <c r="A41" s="6"/>
      <c r="B41" s="6"/>
      <c r="C41" s="6"/>
      <c r="D41" s="20"/>
      <c r="E41" s="21"/>
      <c r="F41" s="21"/>
      <c r="G41" s="21"/>
      <c r="H41" s="21"/>
    </row>
    <row r="42" spans="1:8" x14ac:dyDescent="0.35">
      <c r="A42" s="6"/>
      <c r="B42" s="6"/>
      <c r="C42" s="6"/>
      <c r="D42" s="20"/>
      <c r="E42" s="21"/>
      <c r="F42" s="21"/>
      <c r="G42" s="21"/>
      <c r="H42" s="21"/>
    </row>
    <row r="43" spans="1:8" x14ac:dyDescent="0.35">
      <c r="A43" s="6"/>
      <c r="B43" s="6"/>
      <c r="C43" s="6"/>
      <c r="D43" s="20"/>
      <c r="E43" s="21"/>
      <c r="F43" s="21"/>
      <c r="G43" s="21"/>
      <c r="H43" s="21"/>
    </row>
    <row r="44" spans="1:8" ht="16" x14ac:dyDescent="0.4">
      <c r="A44" s="8" t="s">
        <v>46</v>
      </c>
      <c r="B44" s="6"/>
      <c r="C44" s="6"/>
      <c r="D44" s="20"/>
      <c r="E44" s="21"/>
      <c r="F44" s="21"/>
      <c r="G44" s="21"/>
      <c r="H44" s="21"/>
    </row>
    <row r="45" spans="1:8" x14ac:dyDescent="0.35">
      <c r="A45" s="32"/>
      <c r="B45" s="33"/>
      <c r="C45" s="33"/>
      <c r="D45" s="33"/>
      <c r="E45" s="33"/>
      <c r="F45" s="33"/>
      <c r="G45" s="33"/>
      <c r="H45" s="34"/>
    </row>
    <row r="46" spans="1:8" x14ac:dyDescent="0.35">
      <c r="A46" s="35"/>
      <c r="B46" s="36"/>
      <c r="C46" s="36"/>
      <c r="D46" s="36"/>
      <c r="E46" s="36"/>
      <c r="F46" s="36"/>
      <c r="G46" s="36"/>
      <c r="H46" s="37"/>
    </row>
    <row r="47" spans="1:8" x14ac:dyDescent="0.35">
      <c r="A47" s="35"/>
      <c r="B47" s="36"/>
      <c r="C47" s="36"/>
      <c r="D47" s="36"/>
      <c r="E47" s="36"/>
      <c r="F47" s="36"/>
      <c r="G47" s="36"/>
      <c r="H47" s="37"/>
    </row>
    <row r="48" spans="1:8" x14ac:dyDescent="0.35">
      <c r="A48" s="35"/>
      <c r="B48" s="36"/>
      <c r="C48" s="36"/>
      <c r="D48" s="36"/>
      <c r="E48" s="36"/>
      <c r="F48" s="36"/>
      <c r="G48" s="36"/>
      <c r="H48" s="37"/>
    </row>
    <row r="49" spans="1:8" x14ac:dyDescent="0.35">
      <c r="A49" s="38"/>
      <c r="B49" s="39"/>
      <c r="C49" s="39"/>
      <c r="D49" s="39"/>
      <c r="E49" s="39"/>
      <c r="F49" s="39"/>
      <c r="G49" s="39"/>
      <c r="H49" s="40"/>
    </row>
    <row r="50" spans="1:8" x14ac:dyDescent="0.35">
      <c r="A50" s="6"/>
      <c r="B50" s="6"/>
      <c r="C50" s="6"/>
      <c r="D50" s="20"/>
      <c r="E50" s="21"/>
      <c r="F50" s="21"/>
      <c r="G50" s="21"/>
      <c r="H50" s="21"/>
    </row>
    <row r="51" spans="1:8" x14ac:dyDescent="0.35">
      <c r="A51" s="23" t="s">
        <v>47</v>
      </c>
      <c r="B51" s="6"/>
      <c r="C51" s="6"/>
      <c r="D51" s="20"/>
      <c r="E51" s="21"/>
      <c r="F51" s="21"/>
      <c r="G51" s="21"/>
      <c r="H51" s="21"/>
    </row>
    <row r="52" spans="1:8" x14ac:dyDescent="0.35">
      <c r="A52" s="41"/>
      <c r="B52" s="42"/>
      <c r="C52" s="42"/>
      <c r="D52" s="42"/>
      <c r="E52" s="42"/>
      <c r="F52" s="42"/>
      <c r="G52" s="42"/>
      <c r="H52" s="43"/>
    </row>
    <row r="53" spans="1:8" x14ac:dyDescent="0.35">
      <c r="A53" s="44"/>
      <c r="B53" s="45"/>
      <c r="C53" s="45"/>
      <c r="D53" s="45"/>
      <c r="E53" s="45"/>
      <c r="F53" s="45"/>
      <c r="G53" s="45"/>
      <c r="H53" s="46"/>
    </row>
    <row r="54" spans="1:8" x14ac:dyDescent="0.35">
      <c r="A54" s="47"/>
      <c r="B54" s="48"/>
      <c r="C54" s="48"/>
      <c r="D54" s="48"/>
      <c r="E54" s="48"/>
      <c r="F54" s="48"/>
      <c r="G54" s="48"/>
      <c r="H54" s="49"/>
    </row>
    <row r="55" spans="1:8" x14ac:dyDescent="0.35">
      <c r="A55" s="6"/>
      <c r="B55" s="6"/>
      <c r="C55" s="6"/>
      <c r="D55" s="20"/>
      <c r="E55" s="21"/>
      <c r="F55" s="21"/>
      <c r="G55" s="21"/>
      <c r="H55" s="21"/>
    </row>
    <row r="56" spans="1:8" ht="16" x14ac:dyDescent="0.4">
      <c r="A56" s="8" t="s">
        <v>48</v>
      </c>
      <c r="B56" s="6"/>
      <c r="C56" s="6"/>
      <c r="D56" s="20"/>
      <c r="E56" s="21"/>
      <c r="F56" s="21"/>
      <c r="G56" s="21"/>
      <c r="H56" s="21"/>
    </row>
    <row r="57" spans="1:8" ht="16" x14ac:dyDescent="0.4">
      <c r="A57" s="8" t="s">
        <v>49</v>
      </c>
      <c r="B57" s="6"/>
      <c r="C57" s="6"/>
      <c r="D57" s="20"/>
      <c r="E57" s="21"/>
      <c r="F57" s="21"/>
      <c r="G57" s="21"/>
      <c r="H57" s="21"/>
    </row>
    <row r="58" spans="1:8" x14ac:dyDescent="0.35">
      <c r="A58" s="32"/>
      <c r="B58" s="33"/>
      <c r="C58" s="33"/>
      <c r="D58" s="33"/>
      <c r="E58" s="33"/>
      <c r="F58" s="33"/>
      <c r="G58" s="33"/>
      <c r="H58" s="34"/>
    </row>
    <row r="59" spans="1:8" x14ac:dyDescent="0.35">
      <c r="A59" s="35"/>
      <c r="B59" s="36"/>
      <c r="C59" s="36"/>
      <c r="D59" s="36"/>
      <c r="E59" s="36"/>
      <c r="F59" s="36"/>
      <c r="G59" s="36"/>
      <c r="H59" s="37"/>
    </row>
    <row r="60" spans="1:8" x14ac:dyDescent="0.35">
      <c r="A60" s="35"/>
      <c r="B60" s="36"/>
      <c r="C60" s="36"/>
      <c r="D60" s="36"/>
      <c r="E60" s="36"/>
      <c r="F60" s="36"/>
      <c r="G60" s="36"/>
      <c r="H60" s="37"/>
    </row>
    <row r="61" spans="1:8" x14ac:dyDescent="0.35">
      <c r="A61" s="35"/>
      <c r="B61" s="36"/>
      <c r="C61" s="36"/>
      <c r="D61" s="36"/>
      <c r="E61" s="36"/>
      <c r="F61" s="36"/>
      <c r="G61" s="36"/>
      <c r="H61" s="37"/>
    </row>
    <row r="62" spans="1:8" x14ac:dyDescent="0.35">
      <c r="A62" s="35"/>
      <c r="B62" s="36"/>
      <c r="C62" s="36"/>
      <c r="D62" s="36"/>
      <c r="E62" s="36"/>
      <c r="F62" s="36"/>
      <c r="G62" s="36"/>
      <c r="H62" s="37"/>
    </row>
    <row r="63" spans="1:8" x14ac:dyDescent="0.35">
      <c r="A63" s="35"/>
      <c r="B63" s="36"/>
      <c r="C63" s="36"/>
      <c r="D63" s="36"/>
      <c r="E63" s="36"/>
      <c r="F63" s="36"/>
      <c r="G63" s="36"/>
      <c r="H63" s="37"/>
    </row>
    <row r="64" spans="1:8" x14ac:dyDescent="0.35">
      <c r="A64" s="35"/>
      <c r="B64" s="36"/>
      <c r="C64" s="36"/>
      <c r="D64" s="36"/>
      <c r="E64" s="36"/>
      <c r="F64" s="36"/>
      <c r="G64" s="36"/>
      <c r="H64" s="37"/>
    </row>
    <row r="65" spans="1:8" x14ac:dyDescent="0.35">
      <c r="A65" s="38"/>
      <c r="B65" s="39"/>
      <c r="C65" s="39"/>
      <c r="D65" s="39"/>
      <c r="E65" s="39"/>
      <c r="F65" s="39"/>
      <c r="G65" s="39"/>
      <c r="H65" s="40"/>
    </row>
    <row r="66" spans="1:8" x14ac:dyDescent="0.35">
      <c r="A66" s="6"/>
      <c r="B66" s="6"/>
      <c r="C66" s="6"/>
      <c r="D66" s="20"/>
      <c r="E66" s="21"/>
      <c r="F66" s="21"/>
      <c r="G66" s="21"/>
      <c r="H66" s="21"/>
    </row>
    <row r="67" spans="1:8" x14ac:dyDescent="0.35">
      <c r="A67" s="20" t="s">
        <v>50</v>
      </c>
      <c r="B67" s="6"/>
      <c r="C67" s="6"/>
      <c r="D67" s="20"/>
      <c r="E67" s="21"/>
      <c r="F67" s="21"/>
      <c r="G67" s="21"/>
      <c r="H67" s="21"/>
    </row>
    <row r="68" spans="1:8" x14ac:dyDescent="0.35">
      <c r="A68" s="20" t="s">
        <v>51</v>
      </c>
      <c r="B68" s="6"/>
      <c r="C68" s="6"/>
      <c r="D68" s="20"/>
      <c r="E68" s="21"/>
      <c r="F68" s="21"/>
      <c r="G68" s="21"/>
      <c r="H68" s="21"/>
    </row>
    <row r="69" spans="1:8" x14ac:dyDescent="0.35">
      <c r="A69" s="32"/>
      <c r="B69" s="33"/>
      <c r="C69" s="33"/>
      <c r="D69" s="33"/>
      <c r="E69" s="33"/>
      <c r="F69" s="33"/>
      <c r="G69" s="33"/>
      <c r="H69" s="34"/>
    </row>
    <row r="70" spans="1:8" x14ac:dyDescent="0.35">
      <c r="A70" s="35"/>
      <c r="B70" s="36"/>
      <c r="C70" s="36"/>
      <c r="D70" s="36"/>
      <c r="E70" s="36"/>
      <c r="F70" s="36"/>
      <c r="G70" s="36"/>
      <c r="H70" s="37"/>
    </row>
    <row r="71" spans="1:8" x14ac:dyDescent="0.35">
      <c r="A71" s="35"/>
      <c r="B71" s="36"/>
      <c r="C71" s="36"/>
      <c r="D71" s="36"/>
      <c r="E71" s="36"/>
      <c r="F71" s="36"/>
      <c r="G71" s="36"/>
      <c r="H71" s="37"/>
    </row>
    <row r="72" spans="1:8" x14ac:dyDescent="0.35">
      <c r="A72" s="35"/>
      <c r="B72" s="36"/>
      <c r="C72" s="36"/>
      <c r="D72" s="36"/>
      <c r="E72" s="36"/>
      <c r="F72" s="36"/>
      <c r="G72" s="36"/>
      <c r="H72" s="37"/>
    </row>
    <row r="73" spans="1:8" x14ac:dyDescent="0.35">
      <c r="A73" s="35"/>
      <c r="B73" s="36"/>
      <c r="C73" s="36"/>
      <c r="D73" s="36"/>
      <c r="E73" s="36"/>
      <c r="F73" s="36"/>
      <c r="G73" s="36"/>
      <c r="H73" s="37"/>
    </row>
    <row r="74" spans="1:8" x14ac:dyDescent="0.35">
      <c r="A74" s="38"/>
      <c r="B74" s="39"/>
      <c r="C74" s="39"/>
      <c r="D74" s="39"/>
      <c r="E74" s="39"/>
      <c r="F74" s="39"/>
      <c r="G74" s="39"/>
      <c r="H74" s="40"/>
    </row>
    <row r="75" spans="1:8" x14ac:dyDescent="0.35">
      <c r="A75" s="6"/>
      <c r="B75" s="6"/>
      <c r="C75" s="6"/>
      <c r="D75" s="20"/>
      <c r="E75" s="21"/>
      <c r="F75" s="21"/>
      <c r="G75" s="21"/>
      <c r="H75" s="21"/>
    </row>
    <row r="76" spans="1:8" ht="16" x14ac:dyDescent="0.4">
      <c r="A76" s="8" t="s">
        <v>52</v>
      </c>
      <c r="B76" s="6"/>
      <c r="C76" s="6"/>
      <c r="D76" s="20"/>
      <c r="E76" s="21"/>
      <c r="F76" s="21"/>
      <c r="G76" s="21"/>
      <c r="H76" s="21"/>
    </row>
    <row r="77" spans="1:8" x14ac:dyDescent="0.35">
      <c r="A77" s="32"/>
      <c r="B77" s="33"/>
      <c r="C77" s="33"/>
      <c r="D77" s="33"/>
      <c r="E77" s="33"/>
      <c r="F77" s="33"/>
      <c r="G77" s="33"/>
      <c r="H77" s="34"/>
    </row>
    <row r="78" spans="1:8" x14ac:dyDescent="0.35">
      <c r="A78" s="35"/>
      <c r="B78" s="36"/>
      <c r="C78" s="36"/>
      <c r="D78" s="36"/>
      <c r="E78" s="36"/>
      <c r="F78" s="36"/>
      <c r="G78" s="36"/>
      <c r="H78" s="37"/>
    </row>
    <row r="79" spans="1:8" x14ac:dyDescent="0.35">
      <c r="A79" s="35"/>
      <c r="B79" s="36"/>
      <c r="C79" s="36"/>
      <c r="D79" s="36"/>
      <c r="E79" s="36"/>
      <c r="F79" s="36"/>
      <c r="G79" s="36"/>
      <c r="H79" s="37"/>
    </row>
    <row r="80" spans="1:8" x14ac:dyDescent="0.35">
      <c r="A80" s="35"/>
      <c r="B80" s="36"/>
      <c r="C80" s="36"/>
      <c r="D80" s="36"/>
      <c r="E80" s="36"/>
      <c r="F80" s="36"/>
      <c r="G80" s="36"/>
      <c r="H80" s="37"/>
    </row>
    <row r="81" spans="1:8" x14ac:dyDescent="0.35">
      <c r="A81" s="35"/>
      <c r="B81" s="36"/>
      <c r="C81" s="36"/>
      <c r="D81" s="36"/>
      <c r="E81" s="36"/>
      <c r="F81" s="36"/>
      <c r="G81" s="36"/>
      <c r="H81" s="37"/>
    </row>
    <row r="82" spans="1:8" x14ac:dyDescent="0.35">
      <c r="A82" s="35"/>
      <c r="B82" s="36"/>
      <c r="C82" s="36"/>
      <c r="D82" s="36"/>
      <c r="E82" s="36"/>
      <c r="F82" s="36"/>
      <c r="G82" s="36"/>
      <c r="H82" s="37"/>
    </row>
    <row r="83" spans="1:8" x14ac:dyDescent="0.35">
      <c r="A83" s="38"/>
      <c r="B83" s="39"/>
      <c r="C83" s="39"/>
      <c r="D83" s="39"/>
      <c r="E83" s="39"/>
      <c r="F83" s="39"/>
      <c r="G83" s="39"/>
      <c r="H83" s="40"/>
    </row>
    <row r="84" spans="1:8" x14ac:dyDescent="0.35">
      <c r="A84" s="6"/>
      <c r="B84" s="6"/>
      <c r="C84" s="6"/>
      <c r="D84" s="20"/>
      <c r="E84" s="21"/>
      <c r="F84" s="21"/>
      <c r="G84" s="21"/>
      <c r="H84" s="21"/>
    </row>
    <row r="85" spans="1:8" ht="16" x14ac:dyDescent="0.4">
      <c r="A85" s="8" t="s">
        <v>53</v>
      </c>
      <c r="B85" s="6"/>
      <c r="C85" s="6"/>
      <c r="D85" s="20"/>
      <c r="E85" s="21"/>
      <c r="F85" s="21"/>
      <c r="G85" s="21"/>
      <c r="H85" s="21"/>
    </row>
    <row r="86" spans="1:8" x14ac:dyDescent="0.35">
      <c r="A86" s="29"/>
      <c r="B86" s="29"/>
      <c r="C86" s="6"/>
      <c r="D86" s="20"/>
      <c r="E86" s="21"/>
      <c r="F86" s="21"/>
      <c r="G86" s="21"/>
      <c r="H86" s="21"/>
    </row>
    <row r="87" spans="1:8" x14ac:dyDescent="0.35">
      <c r="A87" s="29"/>
      <c r="B87" s="29"/>
      <c r="C87" s="6"/>
      <c r="D87" s="20"/>
      <c r="E87" s="21"/>
      <c r="F87" s="21"/>
      <c r="G87" s="21"/>
      <c r="H87" s="21"/>
    </row>
    <row r="88" spans="1:8" x14ac:dyDescent="0.35">
      <c r="A88" s="29"/>
      <c r="B88" s="29"/>
      <c r="C88" s="6"/>
      <c r="D88" s="20"/>
      <c r="E88" s="21"/>
      <c r="F88" s="21"/>
      <c r="G88" s="21"/>
      <c r="H88" s="21"/>
    </row>
  </sheetData>
  <mergeCells count="31">
    <mergeCell ref="A29:B29"/>
    <mergeCell ref="A30:B30"/>
    <mergeCell ref="A31:B31"/>
    <mergeCell ref="A32:B32"/>
    <mergeCell ref="A24:B24"/>
    <mergeCell ref="A25:B25"/>
    <mergeCell ref="A26:B26"/>
    <mergeCell ref="A27:B27"/>
    <mergeCell ref="A28:B2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86:B88"/>
    <mergeCell ref="F37:G37"/>
    <mergeCell ref="A45:H49"/>
    <mergeCell ref="A52:H54"/>
    <mergeCell ref="A58:H65"/>
    <mergeCell ref="A69:H74"/>
    <mergeCell ref="A77:H83"/>
  </mergeCells>
  <hyperlinks>
    <hyperlink ref="A17" r:id="rId1" xr:uid="{56DCD14B-8B4E-4B5E-827B-70E9934D4E6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johansen</dc:creator>
  <cp:lastModifiedBy>chris johansen</cp:lastModifiedBy>
  <dcterms:created xsi:type="dcterms:W3CDTF">2026-06-05T02:38:44Z</dcterms:created>
  <dcterms:modified xsi:type="dcterms:W3CDTF">2026-06-24T19:57:09Z</dcterms:modified>
</cp:coreProperties>
</file>